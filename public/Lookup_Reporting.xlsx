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List" sheetId="1" state="visible" r:id="rId3"/>
    <sheet name="Sales Orders" sheetId="2" state="visible" r:id="rId4"/>
    <sheet name="Category 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<sst xmlns="http://schemas.openxmlformats.org/spreadsheetml/2006/main" count="86" uniqueCount="53">
  <si>
    <t xml:space="preserve">Product Master List</t>
  </si>
  <si>
    <t xml:space="preserve">Product ID</t>
  </si>
  <si>
    <t xml:space="preserve">Product Name</t>
  </si>
  <si>
    <t xml:space="preserve">Category</t>
  </si>
  <si>
    <t xml:space="preserve">Unit Price</t>
  </si>
  <si>
    <t xml:space="preserve">P001</t>
  </si>
  <si>
    <t xml:space="preserve">Laptop 14"</t>
  </si>
  <si>
    <t xml:space="preserve">Electronics</t>
  </si>
  <si>
    <t xml:space="preserve">P002</t>
  </si>
  <si>
    <t xml:space="preserve">Monitor 24"</t>
  </si>
  <si>
    <t xml:space="preserve">P003</t>
  </si>
  <si>
    <t xml:space="preserve">Mechanical Keyboard</t>
  </si>
  <si>
    <t xml:space="preserve">Accessories</t>
  </si>
  <si>
    <t xml:space="preserve">P004</t>
  </si>
  <si>
    <t xml:space="preserve">Wireless Mouse</t>
  </si>
  <si>
    <t xml:space="preserve">P005</t>
  </si>
  <si>
    <t xml:space="preserve">Noise Cancelling Headset</t>
  </si>
  <si>
    <t xml:space="preserve">Audio</t>
  </si>
  <si>
    <t xml:space="preserve">P006</t>
  </si>
  <si>
    <t xml:space="preserve">USB-C Dock</t>
  </si>
  <si>
    <t xml:space="preserve">P007</t>
  </si>
  <si>
    <t xml:space="preserve">Webcam 1080p</t>
  </si>
  <si>
    <t xml:space="preserve">P008</t>
  </si>
  <si>
    <t xml:space="preserve">Office Chair</t>
  </si>
  <si>
    <t xml:space="preserve">Furniture</t>
  </si>
  <si>
    <t xml:space="preserve">Sales Orders — Auto-filled via INDEX/MATCH</t>
  </si>
  <si>
    <t xml:space="preserve">Order ID</t>
  </si>
  <si>
    <t xml:space="preserve">Qty</t>
  </si>
  <si>
    <t xml:space="preserve">Total</t>
  </si>
  <si>
    <t xml:space="preserve">SO-2000</t>
  </si>
  <si>
    <t xml:space="preserve">SO-2001</t>
  </si>
  <si>
    <t xml:space="preserve">SO-2002</t>
  </si>
  <si>
    <t xml:space="preserve">SO-2003</t>
  </si>
  <si>
    <t xml:space="preserve">SO-2004</t>
  </si>
  <si>
    <t xml:space="preserve">SO-2005</t>
  </si>
  <si>
    <t xml:space="preserve">SO-2006</t>
  </si>
  <si>
    <t xml:space="preserve">SO-2007</t>
  </si>
  <si>
    <t xml:space="preserve">SO-2008</t>
  </si>
  <si>
    <t xml:space="preserve">SO-2009</t>
  </si>
  <si>
    <t xml:space="preserve">SO-2010</t>
  </si>
  <si>
    <t xml:space="preserve">SO-2011</t>
  </si>
  <si>
    <t xml:space="preserve">SO-2012</t>
  </si>
  <si>
    <t xml:space="preserve">SO-2013</t>
  </si>
  <si>
    <t xml:space="preserve">SO-2014</t>
  </si>
  <si>
    <t xml:space="preserve">SO-2015</t>
  </si>
  <si>
    <t xml:space="preserve">SO-2016</t>
  </si>
  <si>
    <t xml:space="preserve">SO-2017</t>
  </si>
  <si>
    <t xml:space="preserve">SO-2018</t>
  </si>
  <si>
    <t xml:space="preserve">SO-2019</t>
  </si>
  <si>
    <t xml:space="preserve">Category-wise Sales Report</t>
  </si>
  <si>
    <t xml:space="preserve">Total Revenue</t>
  </si>
  <si>
    <t xml:space="preserve">Orders</t>
  </si>
  <si>
    <t xml:space="preserve">Avg Order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</si>
</sst>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4" t="n">
        <v>55000</v>
      </c>
    </row>
    <row r="5" customFormat="false" ht="15" hidden="false" customHeight="false" outlineLevel="0" collapsed="false">
      <c r="A5" s="3" t="s">
        <v>8</v>
      </c>
      <c r="B5" s="3" t="s">
        <v>9</v>
      </c>
      <c r="C5" s="3" t="s">
        <v>7</v>
      </c>
      <c r="D5" s="4" t="n">
        <v>9500</v>
      </c>
    </row>
    <row r="6" customFormat="false" ht="15" hidden="false" customHeight="false" outlineLevel="0" collapsed="false">
      <c r="A6" s="3" t="s">
        <v>10</v>
      </c>
      <c r="B6" s="3" t="s">
        <v>11</v>
      </c>
      <c r="C6" s="3" t="s">
        <v>12</v>
      </c>
      <c r="D6" s="4" t="n">
        <v>3200</v>
      </c>
    </row>
    <row r="7" customFormat="false" ht="15" hidden="false" customHeight="false" outlineLevel="0" collapsed="false">
      <c r="A7" s="3" t="s">
        <v>13</v>
      </c>
      <c r="B7" s="3" t="s">
        <v>14</v>
      </c>
      <c r="C7" s="3" t="s">
        <v>12</v>
      </c>
      <c r="D7" s="4" t="n">
        <v>900</v>
      </c>
    </row>
    <row r="8" customFormat="false" ht="15" hidden="false" customHeight="false" outlineLevel="0" collapsed="false">
      <c r="A8" s="3" t="s">
        <v>15</v>
      </c>
      <c r="B8" s="3" t="s">
        <v>16</v>
      </c>
      <c r="C8" s="3" t="s">
        <v>17</v>
      </c>
      <c r="D8" s="4" t="n">
        <v>4500</v>
      </c>
    </row>
    <row r="9" customFormat="false" ht="15" hidden="false" customHeight="false" outlineLevel="0" collapsed="false">
      <c r="A9" s="3" t="s">
        <v>18</v>
      </c>
      <c r="B9" s="3" t="s">
        <v>19</v>
      </c>
      <c r="C9" s="3" t="s">
        <v>12</v>
      </c>
      <c r="D9" s="4" t="n">
        <v>2800</v>
      </c>
    </row>
    <row r="10" customFormat="false" ht="15" hidden="false" customHeight="false" outlineLevel="0" collapsed="false">
      <c r="A10" s="3" t="s">
        <v>20</v>
      </c>
      <c r="B10" s="3" t="s">
        <v>21</v>
      </c>
      <c r="C10" s="3" t="s">
        <v>7</v>
      </c>
      <c r="D10" s="4" t="n">
        <v>2200</v>
      </c>
    </row>
    <row r="11" customFormat="false" ht="15" hidden="false" customHeight="false" outlineLevel="0" collapsed="false">
      <c r="A11" s="3" t="s">
        <v>22</v>
      </c>
      <c r="B11" s="3" t="s">
        <v>23</v>
      </c>
      <c r="C11" s="3" t="s">
        <v>24</v>
      </c>
      <c r="D11" s="4" t="n">
        <v>8500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26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27</v>
      </c>
      <c r="G3" s="2" t="s">
        <v>28</v>
      </c>
    </row>
    <row r="4" customFormat="false" ht="15" hidden="false" customHeight="false" outlineLevel="0" collapsed="false">
      <c r="A4" s="3" t="s">
        <v>29</v>
      </c>
      <c r="B4" s="3" t="s">
        <v>13</v>
      </c>
      <c r="C4" s="3" t="str">
        <f aca="false">INDEX('Product List'!$B$4:$B$11,MATCH(B4,'Product List'!$A$4:$A$11,0))</f>
        <v>Wireless Mouse</v>
      </c>
      <c r="D4" s="3" t="str">
        <f aca="false">INDEX('Product List'!$C$4:$C$11,MATCH(B4,'Product List'!$A$4:$A$11,0))</f>
        <v>Accessories</v>
      </c>
      <c r="E4" s="4" t="n">
        <f aca="false">INDEX('Product List'!$D$4:$D$11,MATCH(B4,'Product List'!$A$4:$A$11,0))</f>
        <v>900</v>
      </c>
      <c r="F4" s="3" t="n">
        <v>10</v>
      </c>
      <c r="G4" s="4" t="n">
        <f aca="false">E4*F4</f>
        <v>9000</v>
      </c>
    </row>
    <row r="5" customFormat="false" ht="15" hidden="false" customHeight="false" outlineLevel="0" collapsed="false">
      <c r="A5" s="3" t="s">
        <v>30</v>
      </c>
      <c r="B5" s="3" t="s">
        <v>10</v>
      </c>
      <c r="C5" s="3" t="str">
        <f aca="false">INDEX('Product List'!$B$4:$B$11,MATCH(B5,'Product List'!$A$4:$A$11,0))</f>
        <v>Mechanical Keyboard</v>
      </c>
      <c r="D5" s="3" t="str">
        <f aca="false">INDEX('Product List'!$C$4:$C$11,MATCH(B5,'Product List'!$A$4:$A$11,0))</f>
        <v>Accessories</v>
      </c>
      <c r="E5" s="4" t="n">
        <f aca="false">INDEX('Product List'!$D$4:$D$11,MATCH(B5,'Product List'!$A$4:$A$11,0))</f>
        <v>3200</v>
      </c>
      <c r="F5" s="3" t="n">
        <v>6</v>
      </c>
      <c r="G5" s="4" t="n">
        <f aca="false">E5*F5</f>
        <v>19200</v>
      </c>
    </row>
    <row r="6" customFormat="false" ht="15" hidden="false" customHeight="false" outlineLevel="0" collapsed="false">
      <c r="A6" s="3" t="s">
        <v>31</v>
      </c>
      <c r="B6" s="3" t="s">
        <v>22</v>
      </c>
      <c r="C6" s="3" t="str">
        <f aca="false">INDEX('Product List'!$B$4:$B$11,MATCH(B6,'Product List'!$A$4:$A$11,0))</f>
        <v>Office Chair</v>
      </c>
      <c r="D6" s="3" t="str">
        <f aca="false">INDEX('Product List'!$C$4:$C$11,MATCH(B6,'Product List'!$A$4:$A$11,0))</f>
        <v>Furniture</v>
      </c>
      <c r="E6" s="4" t="n">
        <f aca="false">INDEX('Product List'!$D$4:$D$11,MATCH(B6,'Product List'!$A$4:$A$11,0))</f>
        <v>8500</v>
      </c>
      <c r="F6" s="3" t="n">
        <v>11</v>
      </c>
      <c r="G6" s="4" t="n">
        <f aca="false">E6*F6</f>
        <v>93500</v>
      </c>
    </row>
    <row r="7" customFormat="false" ht="15" hidden="false" customHeight="false" outlineLevel="0" collapsed="false">
      <c r="A7" s="3" t="s">
        <v>32</v>
      </c>
      <c r="B7" s="3" t="s">
        <v>8</v>
      </c>
      <c r="C7" s="3" t="str">
        <f aca="false">INDEX('Product List'!$B$4:$B$11,MATCH(B7,'Product List'!$A$4:$A$11,0))</f>
        <v>Monitor 24"</v>
      </c>
      <c r="D7" s="3" t="str">
        <f aca="false">INDEX('Product List'!$C$4:$C$11,MATCH(B7,'Product List'!$A$4:$A$11,0))</f>
        <v>Electronics</v>
      </c>
      <c r="E7" s="4" t="n">
        <f aca="false">INDEX('Product List'!$D$4:$D$11,MATCH(B7,'Product List'!$A$4:$A$11,0))</f>
        <v>9500</v>
      </c>
      <c r="F7" s="3" t="n">
        <v>10</v>
      </c>
      <c r="G7" s="4" t="n">
        <f aca="false">E7*F7</f>
        <v>95000</v>
      </c>
    </row>
    <row r="8" customFormat="false" ht="15" hidden="false" customHeight="false" outlineLevel="0" collapsed="false">
      <c r="A8" s="3" t="s">
        <v>33</v>
      </c>
      <c r="B8" s="3" t="s">
        <v>5</v>
      </c>
      <c r="C8" s="3" t="str">
        <f aca="false">INDEX('Product List'!$B$4:$B$11,MATCH(B8,'Product List'!$A$4:$A$11,0))</f>
        <v>Laptop 14"</v>
      </c>
      <c r="D8" s="3" t="str">
        <f aca="false">INDEX('Product List'!$C$4:$C$11,MATCH(B8,'Product List'!$A$4:$A$11,0))</f>
        <v>Electronics</v>
      </c>
      <c r="E8" s="4" t="n">
        <f aca="false">INDEX('Product List'!$D$4:$D$11,MATCH(B8,'Product List'!$A$4:$A$11,0))</f>
        <v>55000</v>
      </c>
      <c r="F8" s="3" t="n">
        <v>15</v>
      </c>
      <c r="G8" s="4" t="n">
        <f aca="false">E8*F8</f>
        <v>825000</v>
      </c>
    </row>
    <row r="9" customFormat="false" ht="15" hidden="false" customHeight="false" outlineLevel="0" collapsed="false">
      <c r="A9" s="3" t="s">
        <v>34</v>
      </c>
      <c r="B9" s="3" t="s">
        <v>22</v>
      </c>
      <c r="C9" s="3" t="str">
        <f aca="false">INDEX('Product List'!$B$4:$B$11,MATCH(B9,'Product List'!$A$4:$A$11,0))</f>
        <v>Office Chair</v>
      </c>
      <c r="D9" s="3" t="str">
        <f aca="false">INDEX('Product List'!$C$4:$C$11,MATCH(B9,'Product List'!$A$4:$A$11,0))</f>
        <v>Furniture</v>
      </c>
      <c r="E9" s="4" t="n">
        <f aca="false">INDEX('Product List'!$D$4:$D$11,MATCH(B9,'Product List'!$A$4:$A$11,0))</f>
        <v>8500</v>
      </c>
      <c r="F9" s="3" t="n">
        <v>5</v>
      </c>
      <c r="G9" s="4" t="n">
        <f aca="false">E9*F9</f>
        <v>42500</v>
      </c>
    </row>
    <row r="10" customFormat="false" ht="15" hidden="false" customHeight="false" outlineLevel="0" collapsed="false">
      <c r="A10" s="3" t="s">
        <v>35</v>
      </c>
      <c r="B10" s="3" t="s">
        <v>13</v>
      </c>
      <c r="C10" s="3" t="str">
        <f aca="false">INDEX('Product List'!$B$4:$B$11,MATCH(B10,'Product List'!$A$4:$A$11,0))</f>
        <v>Wireless Mouse</v>
      </c>
      <c r="D10" s="3" t="str">
        <f aca="false">INDEX('Product List'!$C$4:$C$11,MATCH(B10,'Product List'!$A$4:$A$11,0))</f>
        <v>Accessories</v>
      </c>
      <c r="E10" s="4" t="n">
        <f aca="false">INDEX('Product List'!$D$4:$D$11,MATCH(B10,'Product List'!$A$4:$A$11,0))</f>
        <v>900</v>
      </c>
      <c r="F10" s="3" t="n">
        <v>4</v>
      </c>
      <c r="G10" s="4" t="n">
        <f aca="false">E10*F10</f>
        <v>3600</v>
      </c>
    </row>
    <row r="11" customFormat="false" ht="15" hidden="false" customHeight="false" outlineLevel="0" collapsed="false">
      <c r="A11" s="3" t="s">
        <v>36</v>
      </c>
      <c r="B11" s="3" t="s">
        <v>22</v>
      </c>
      <c r="C11" s="3" t="str">
        <f aca="false">INDEX('Product List'!$B$4:$B$11,MATCH(B11,'Product List'!$A$4:$A$11,0))</f>
        <v>Office Chair</v>
      </c>
      <c r="D11" s="3" t="str">
        <f aca="false">INDEX('Product List'!$C$4:$C$11,MATCH(B11,'Product List'!$A$4:$A$11,0))</f>
        <v>Furniture</v>
      </c>
      <c r="E11" s="4" t="n">
        <f aca="false">INDEX('Product List'!$D$4:$D$11,MATCH(B11,'Product List'!$A$4:$A$11,0))</f>
        <v>8500</v>
      </c>
      <c r="F11" s="3" t="n">
        <v>9</v>
      </c>
      <c r="G11" s="4" t="n">
        <f aca="false">E11*F11</f>
        <v>76500</v>
      </c>
    </row>
    <row r="12" customFormat="false" ht="15" hidden="false" customHeight="false" outlineLevel="0" collapsed="false">
      <c r="A12" s="3" t="s">
        <v>37</v>
      </c>
      <c r="B12" s="3" t="s">
        <v>22</v>
      </c>
      <c r="C12" s="3" t="str">
        <f aca="false">INDEX('Product List'!$B$4:$B$11,MATCH(B12,'Product List'!$A$4:$A$11,0))</f>
        <v>Office Chair</v>
      </c>
      <c r="D12" s="3" t="str">
        <f aca="false">INDEX('Product List'!$C$4:$C$11,MATCH(B12,'Product List'!$A$4:$A$11,0))</f>
        <v>Furniture</v>
      </c>
      <c r="E12" s="4" t="n">
        <f aca="false">INDEX('Product List'!$D$4:$D$11,MATCH(B12,'Product List'!$A$4:$A$11,0))</f>
        <v>8500</v>
      </c>
      <c r="F12" s="3" t="n">
        <v>7</v>
      </c>
      <c r="G12" s="4" t="n">
        <f aca="false">E12*F12</f>
        <v>59500</v>
      </c>
    </row>
    <row r="13" customFormat="false" ht="15" hidden="false" customHeight="false" outlineLevel="0" collapsed="false">
      <c r="A13" s="3" t="s">
        <v>38</v>
      </c>
      <c r="B13" s="3" t="s">
        <v>10</v>
      </c>
      <c r="C13" s="3" t="str">
        <f aca="false">INDEX('Product List'!$B$4:$B$11,MATCH(B13,'Product List'!$A$4:$A$11,0))</f>
        <v>Mechanical Keyboard</v>
      </c>
      <c r="D13" s="3" t="str">
        <f aca="false">INDEX('Product List'!$C$4:$C$11,MATCH(B13,'Product List'!$A$4:$A$11,0))</f>
        <v>Accessories</v>
      </c>
      <c r="E13" s="4" t="n">
        <f aca="false">INDEX('Product List'!$D$4:$D$11,MATCH(B13,'Product List'!$A$4:$A$11,0))</f>
        <v>3200</v>
      </c>
      <c r="F13" s="3" t="n">
        <v>4</v>
      </c>
      <c r="G13" s="4" t="n">
        <f aca="false">E13*F13</f>
        <v>12800</v>
      </c>
    </row>
    <row r="14" customFormat="false" ht="15" hidden="false" customHeight="false" outlineLevel="0" collapsed="false">
      <c r="A14" s="3" t="s">
        <v>39</v>
      </c>
      <c r="B14" s="3" t="s">
        <v>10</v>
      </c>
      <c r="C14" s="3" t="str">
        <f aca="false">INDEX('Product List'!$B$4:$B$11,MATCH(B14,'Product List'!$A$4:$A$11,0))</f>
        <v>Mechanical Keyboard</v>
      </c>
      <c r="D14" s="3" t="str">
        <f aca="false">INDEX('Product List'!$C$4:$C$11,MATCH(B14,'Product List'!$A$4:$A$11,0))</f>
        <v>Accessories</v>
      </c>
      <c r="E14" s="4" t="n">
        <f aca="false">INDEX('Product List'!$D$4:$D$11,MATCH(B14,'Product List'!$A$4:$A$11,0))</f>
        <v>3200</v>
      </c>
      <c r="F14" s="3" t="n">
        <v>14</v>
      </c>
      <c r="G14" s="4" t="n">
        <f aca="false">E14*F14</f>
        <v>44800</v>
      </c>
    </row>
    <row r="15" customFormat="false" ht="15" hidden="false" customHeight="false" outlineLevel="0" collapsed="false">
      <c r="A15" s="3" t="s">
        <v>40</v>
      </c>
      <c r="B15" s="3" t="s">
        <v>20</v>
      </c>
      <c r="C15" s="3" t="str">
        <f aca="false">INDEX('Product List'!$B$4:$B$11,MATCH(B15,'Product List'!$A$4:$A$11,0))</f>
        <v>Webcam 1080p</v>
      </c>
      <c r="D15" s="3" t="str">
        <f aca="false">INDEX('Product List'!$C$4:$C$11,MATCH(B15,'Product List'!$A$4:$A$11,0))</f>
        <v>Electronics</v>
      </c>
      <c r="E15" s="4" t="n">
        <f aca="false">INDEX('Product List'!$D$4:$D$11,MATCH(B15,'Product List'!$A$4:$A$11,0))</f>
        <v>2200</v>
      </c>
      <c r="F15" s="3" t="n">
        <v>12</v>
      </c>
      <c r="G15" s="4" t="n">
        <f aca="false">E15*F15</f>
        <v>26400</v>
      </c>
    </row>
    <row r="16" customFormat="false" ht="15" hidden="false" customHeight="false" outlineLevel="0" collapsed="false">
      <c r="A16" s="3" t="s">
        <v>41</v>
      </c>
      <c r="B16" s="3" t="s">
        <v>5</v>
      </c>
      <c r="C16" s="3" t="str">
        <f aca="false">INDEX('Product List'!$B$4:$B$11,MATCH(B16,'Product List'!$A$4:$A$11,0))</f>
        <v>Laptop 14"</v>
      </c>
      <c r="D16" s="3" t="str">
        <f aca="false">INDEX('Product List'!$C$4:$C$11,MATCH(B16,'Product List'!$A$4:$A$11,0))</f>
        <v>Electronics</v>
      </c>
      <c r="E16" s="4" t="n">
        <f aca="false">INDEX('Product List'!$D$4:$D$11,MATCH(B16,'Product List'!$A$4:$A$11,0))</f>
        <v>55000</v>
      </c>
      <c r="F16" s="3" t="n">
        <v>11</v>
      </c>
      <c r="G16" s="4" t="n">
        <f aca="false">E16*F16</f>
        <v>605000</v>
      </c>
    </row>
    <row r="17" customFormat="false" ht="15" hidden="false" customHeight="false" outlineLevel="0" collapsed="false">
      <c r="A17" s="3" t="s">
        <v>42</v>
      </c>
      <c r="B17" s="3" t="s">
        <v>8</v>
      </c>
      <c r="C17" s="3" t="str">
        <f aca="false">INDEX('Product List'!$B$4:$B$11,MATCH(B17,'Product List'!$A$4:$A$11,0))</f>
        <v>Monitor 24"</v>
      </c>
      <c r="D17" s="3" t="str">
        <f aca="false">INDEX('Product List'!$C$4:$C$11,MATCH(B17,'Product List'!$A$4:$A$11,0))</f>
        <v>Electronics</v>
      </c>
      <c r="E17" s="4" t="n">
        <f aca="false">INDEX('Product List'!$D$4:$D$11,MATCH(B17,'Product List'!$A$4:$A$11,0))</f>
        <v>9500</v>
      </c>
      <c r="F17" s="3" t="n">
        <v>3</v>
      </c>
      <c r="G17" s="4" t="n">
        <f aca="false">E17*F17</f>
        <v>28500</v>
      </c>
    </row>
    <row r="18" customFormat="false" ht="15" hidden="false" customHeight="false" outlineLevel="0" collapsed="false">
      <c r="A18" s="3" t="s">
        <v>43</v>
      </c>
      <c r="B18" s="3" t="s">
        <v>5</v>
      </c>
      <c r="C18" s="3" t="str">
        <f aca="false">INDEX('Product List'!$B$4:$B$11,MATCH(B18,'Product List'!$A$4:$A$11,0))</f>
        <v>Laptop 14"</v>
      </c>
      <c r="D18" s="3" t="str">
        <f aca="false">INDEX('Product List'!$C$4:$C$11,MATCH(B18,'Product List'!$A$4:$A$11,0))</f>
        <v>Electronics</v>
      </c>
      <c r="E18" s="4" t="n">
        <f aca="false">INDEX('Product List'!$D$4:$D$11,MATCH(B18,'Product List'!$A$4:$A$11,0))</f>
        <v>55000</v>
      </c>
      <c r="F18" s="3" t="n">
        <v>5</v>
      </c>
      <c r="G18" s="4" t="n">
        <f aca="false">E18*F18</f>
        <v>275000</v>
      </c>
    </row>
    <row r="19" customFormat="false" ht="15" hidden="false" customHeight="false" outlineLevel="0" collapsed="false">
      <c r="A19" s="3" t="s">
        <v>44</v>
      </c>
      <c r="B19" s="3" t="s">
        <v>5</v>
      </c>
      <c r="C19" s="3" t="str">
        <f aca="false">INDEX('Product List'!$B$4:$B$11,MATCH(B19,'Product List'!$A$4:$A$11,0))</f>
        <v>Laptop 14"</v>
      </c>
      <c r="D19" s="3" t="str">
        <f aca="false">INDEX('Product List'!$C$4:$C$11,MATCH(B19,'Product List'!$A$4:$A$11,0))</f>
        <v>Electronics</v>
      </c>
      <c r="E19" s="4" t="n">
        <f aca="false">INDEX('Product List'!$D$4:$D$11,MATCH(B19,'Product List'!$A$4:$A$11,0))</f>
        <v>55000</v>
      </c>
      <c r="F19" s="3" t="n">
        <v>14</v>
      </c>
      <c r="G19" s="4" t="n">
        <f aca="false">E19*F19</f>
        <v>770000</v>
      </c>
    </row>
    <row r="20" customFormat="false" ht="15" hidden="false" customHeight="false" outlineLevel="0" collapsed="false">
      <c r="A20" s="3" t="s">
        <v>45</v>
      </c>
      <c r="B20" s="3" t="s">
        <v>15</v>
      </c>
      <c r="C20" s="3" t="str">
        <f aca="false">INDEX('Product List'!$B$4:$B$11,MATCH(B20,'Product List'!$A$4:$A$11,0))</f>
        <v>Noise Cancelling Headset</v>
      </c>
      <c r="D20" s="3" t="str">
        <f aca="false">INDEX('Product List'!$C$4:$C$11,MATCH(B20,'Product List'!$A$4:$A$11,0))</f>
        <v>Audio</v>
      </c>
      <c r="E20" s="4" t="n">
        <f aca="false">INDEX('Product List'!$D$4:$D$11,MATCH(B20,'Product List'!$A$4:$A$11,0))</f>
        <v>4500</v>
      </c>
      <c r="F20" s="3" t="n">
        <v>8</v>
      </c>
      <c r="G20" s="4" t="n">
        <f aca="false">E20*F20</f>
        <v>36000</v>
      </c>
    </row>
    <row r="21" customFormat="false" ht="15" hidden="false" customHeight="false" outlineLevel="0" collapsed="false">
      <c r="A21" s="3" t="s">
        <v>46</v>
      </c>
      <c r="B21" s="3" t="s">
        <v>20</v>
      </c>
      <c r="C21" s="3" t="str">
        <f aca="false">INDEX('Product List'!$B$4:$B$11,MATCH(B21,'Product List'!$A$4:$A$11,0))</f>
        <v>Webcam 1080p</v>
      </c>
      <c r="D21" s="3" t="str">
        <f aca="false">INDEX('Product List'!$C$4:$C$11,MATCH(B21,'Product List'!$A$4:$A$11,0))</f>
        <v>Electronics</v>
      </c>
      <c r="E21" s="4" t="n">
        <f aca="false">INDEX('Product List'!$D$4:$D$11,MATCH(B21,'Product List'!$A$4:$A$11,0))</f>
        <v>2200</v>
      </c>
      <c r="F21" s="3" t="n">
        <v>12</v>
      </c>
      <c r="G21" s="4" t="n">
        <f aca="false">E21*F21</f>
        <v>26400</v>
      </c>
    </row>
    <row r="22" customFormat="false" ht="15" hidden="false" customHeight="false" outlineLevel="0" collapsed="false">
      <c r="A22" s="3" t="s">
        <v>47</v>
      </c>
      <c r="B22" s="3" t="s">
        <v>20</v>
      </c>
      <c r="C22" s="3" t="str">
        <f aca="false">INDEX('Product List'!$B$4:$B$11,MATCH(B22,'Product List'!$A$4:$A$11,0))</f>
        <v>Webcam 1080p</v>
      </c>
      <c r="D22" s="3" t="str">
        <f aca="false">INDEX('Product List'!$C$4:$C$11,MATCH(B22,'Product List'!$A$4:$A$11,0))</f>
        <v>Electronics</v>
      </c>
      <c r="E22" s="4" t="n">
        <f aca="false">INDEX('Product List'!$D$4:$D$11,MATCH(B22,'Product List'!$A$4:$A$11,0))</f>
        <v>2200</v>
      </c>
      <c r="F22" s="3" t="n">
        <v>7</v>
      </c>
      <c r="G22" s="4" t="n">
        <f aca="false">E22*F22</f>
        <v>15400</v>
      </c>
    </row>
    <row r="23" customFormat="false" ht="15" hidden="false" customHeight="false" outlineLevel="0" collapsed="false">
      <c r="A23" s="3" t="s">
        <v>48</v>
      </c>
      <c r="B23" s="3" t="s">
        <v>22</v>
      </c>
      <c r="C23" s="3" t="str">
        <f aca="false">INDEX('Product List'!$B$4:$B$11,MATCH(B23,'Product List'!$A$4:$A$11,0))</f>
        <v>Office Chair</v>
      </c>
      <c r="D23" s="3" t="str">
        <f aca="false">INDEX('Product List'!$C$4:$C$11,MATCH(B23,'Product List'!$A$4:$A$11,0))</f>
        <v>Furniture</v>
      </c>
      <c r="E23" s="4" t="n">
        <f aca="false">INDEX('Product List'!$D$4:$D$11,MATCH(B23,'Product List'!$A$4:$A$11,0))</f>
        <v>8500</v>
      </c>
      <c r="F23" s="3" t="n">
        <v>15</v>
      </c>
      <c r="G23" s="4" t="n">
        <f aca="false">E23*F23</f>
        <v>127500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49</v>
      </c>
      <c r="B1" s="1"/>
      <c r="C1" s="1"/>
      <c r="D1" s="1"/>
    </row>
    <row r="3" customFormat="false" ht="15" hidden="false" customHeight="false" outlineLevel="0" collapsed="false">
      <c r="A3" s="2" t="s">
        <v>3</v>
      </c>
      <c r="B3" s="2" t="s">
        <v>50</v>
      </c>
      <c r="C3" s="2" t="s">
        <v>51</v>
      </c>
      <c r="D3" s="2" t="s">
        <v>52</v>
      </c>
    </row>
    <row r="4" customFormat="false" ht="15" hidden="false" customHeight="false" outlineLevel="0" collapsed="false">
      <c r="A4" s="3" t="s">
        <v>7</v>
      </c>
      <c r="B4" s="4" t="n">
        <f aca="false">SUMIFS('Sales Orders'!G:G,'Sales Orders'!D:D,A4)</f>
        <v>2666700</v>
      </c>
      <c r="C4" s="3" t="n">
        <f aca="false">COUNTIFS('Sales Orders'!D:D,A4)</f>
        <v>9</v>
      </c>
      <c r="D4" s="4" t="n">
        <f aca="false">IFERROR(B4/C4,0)</f>
        <v>296300</v>
      </c>
    </row>
    <row r="5" customFormat="false" ht="15" hidden="false" customHeight="false" outlineLevel="0" collapsed="false">
      <c r="A5" s="3" t="s">
        <v>12</v>
      </c>
      <c r="B5" s="4" t="n">
        <f aca="false">SUMIFS('Sales Orders'!G:G,'Sales Orders'!D:D,A5)</f>
        <v>89400</v>
      </c>
      <c r="C5" s="3" t="n">
        <f aca="false">COUNTIFS('Sales Orders'!D:D,A5)</f>
        <v>5</v>
      </c>
      <c r="D5" s="4" t="n">
        <f aca="false">IFERROR(B5/C5,0)</f>
        <v>17880</v>
      </c>
    </row>
    <row r="6" customFormat="false" ht="15" hidden="false" customHeight="false" outlineLevel="0" collapsed="false">
      <c r="A6" s="3" t="s">
        <v>17</v>
      </c>
      <c r="B6" s="4" t="n">
        <f aca="false">SUMIFS('Sales Orders'!G:G,'Sales Orders'!D:D,A6)</f>
        <v>36000</v>
      </c>
      <c r="C6" s="3" t="n">
        <f aca="false">COUNTIFS('Sales Orders'!D:D,A6)</f>
        <v>1</v>
      </c>
      <c r="D6" s="4" t="n">
        <f aca="false">IFERROR(B6/C6,0)</f>
        <v>36000</v>
      </c>
    </row>
    <row r="7" customFormat="false" ht="15" hidden="false" customHeight="false" outlineLevel="0" collapsed="false">
      <c r="A7" s="3" t="s">
        <v>24</v>
      </c>
      <c r="B7" s="4" t="n">
        <f aca="false">SUMIFS('Sales Orders'!G:G,'Sales Orders'!D:D,A7)</f>
        <v>399500</v>
      </c>
      <c r="C7" s="3" t="n">
        <f aca="false">COUNTIFS('Sales Orders'!D:D,A7)</f>
        <v>5</v>
      </c>
      <c r="D7" s="4" t="n">
        <f aca="false">IFERROR(B7/C7,0)</f>
        <v>79900</v>
      </c>
    </row>
  </sheetData>
  <mergeCells count="1">
    <mergeCell ref="A1:D1"/>
  </mergeCells>
  <conditionalFormatting sqref="B4:B7">
    <cfRule type="colorScale" priority="2">
      <colorScale>
        <cfvo type="min" val="0"/>
        <cfvo type="max" val="0"/>
        <color rgb="FFFFF2CC"/>
        <color rgb="FF4F7C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2026-08-13T10:34:16Z</dcterms:created>
  <dc:creator>openpyxl</dc:creator>
  <dc:description/>
  <dc:language>en-US</dc:language>
  <cp:lastModifiedBy/>
  <dcterms:modified xsi:type="dcterms:W3CDTF">2026-08-13T10:34:16Z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
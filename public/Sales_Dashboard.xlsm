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6380" windowHeight="8190" tabRatio="500"/>
  </bookViews>
  <sheets>
    <sheet name="Raw Data" sheetId="1" r:id="rId1"/>
    <sheet name="Summary" sheetId="2" r:id="rId2"/>
    <sheet name="Dashboard" sheetId="3" r:id="rId3"/>
  </sheets>
  <definedNames>
    <definedName name="_xlnm.Print_Area" localSheetId="2">Dashboard!$A$1:$S$44</definedName>
    <definedName name="_xlnm.Print_Area" localSheetId="0">'Raw Data'!$A$1:$H$36</definedName>
  </definedNames>
  <calcPr calcId="12451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6" i="3"/>
  <c r="E6"/>
  <c r="D8" i="2"/>
  <c r="C8"/>
  <c r="D7"/>
  <c r="C7"/>
  <c r="D6"/>
  <c r="C6"/>
  <c r="D5"/>
  <c r="C5"/>
  <c r="H151" i="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B7" i="2" s="1"/>
  <c r="H6" i="1"/>
  <c r="H5"/>
  <c r="H4"/>
  <c r="B8" i="2" s="1"/>
  <c r="H3" i="1"/>
  <c r="B6" i="2" s="1"/>
  <c r="H2" i="1"/>
  <c r="K6" i="3" l="1"/>
  <c r="X4"/>
  <c r="X8"/>
  <c r="B5" i="2"/>
  <c r="X3" i="3"/>
  <c r="X7"/>
  <c r="X2"/>
  <c r="B6"/>
  <c r="X6"/>
  <c r="X5"/>
</calcChain>
</file>

<file path=xl/sharedStrings.xml><?xml version="1.0" encoding="utf-8"?>
<sst xmlns="http://schemas.openxmlformats.org/spreadsheetml/2006/main" count="633" uniqueCount="194">
  <si>
    <t>Order ID</t>
  </si>
  <si>
    <t>Date</t>
  </si>
  <si>
    <t>Region</t>
  </si>
  <si>
    <t>Product</t>
  </si>
  <si>
    <t>Sales Rep</t>
  </si>
  <si>
    <t>Units</t>
  </si>
  <si>
    <t>Unit Price</t>
  </si>
  <si>
    <t>Revenue</t>
  </si>
  <si>
    <t>ORD-1000</t>
  </si>
  <si>
    <t>North</t>
  </si>
  <si>
    <t>Laptop</t>
  </si>
  <si>
    <t>P. Singh</t>
  </si>
  <si>
    <t>ORD-1001</t>
  </si>
  <si>
    <t>South</t>
  </si>
  <si>
    <t>K. Nair</t>
  </si>
  <si>
    <t>ORD-1002</t>
  </si>
  <si>
    <t>West</t>
  </si>
  <si>
    <t>A. Sharma</t>
  </si>
  <si>
    <t>ORD-1003</t>
  </si>
  <si>
    <t>Headset</t>
  </si>
  <si>
    <t>ORD-1004</t>
  </si>
  <si>
    <t>S. Iyer</t>
  </si>
  <si>
    <t>ORD-1005</t>
  </si>
  <si>
    <t>East</t>
  </si>
  <si>
    <t>R. Verma</t>
  </si>
  <si>
    <t>ORD-1006</t>
  </si>
  <si>
    <t>Monitor</t>
  </si>
  <si>
    <t>ORD-1007</t>
  </si>
  <si>
    <t>Mouse</t>
  </si>
  <si>
    <t>ORD-1008</t>
  </si>
  <si>
    <t>ORD-1009</t>
  </si>
  <si>
    <t>ORD-1010</t>
  </si>
  <si>
    <t>ORD-1011</t>
  </si>
  <si>
    <t>Keyboard</t>
  </si>
  <si>
    <t>ORD-1012</t>
  </si>
  <si>
    <t>ORD-1013</t>
  </si>
  <si>
    <t>ORD-1014</t>
  </si>
  <si>
    <t>ORD-1015</t>
  </si>
  <si>
    <t>ORD-1016</t>
  </si>
  <si>
    <t>ORD-1017</t>
  </si>
  <si>
    <t>ORD-1018</t>
  </si>
  <si>
    <t>ORD-1019</t>
  </si>
  <si>
    <t>ORD-1020</t>
  </si>
  <si>
    <t>ORD-1021</t>
  </si>
  <si>
    <t>ORD-1022</t>
  </si>
  <si>
    <t>ORD-1023</t>
  </si>
  <si>
    <t>ORD-1024</t>
  </si>
  <si>
    <t>ORD-1025</t>
  </si>
  <si>
    <t>ORD-1026</t>
  </si>
  <si>
    <t>ORD-1027</t>
  </si>
  <si>
    <t>ORD-1028</t>
  </si>
  <si>
    <t>ORD-1029</t>
  </si>
  <si>
    <t>ORD-1030</t>
  </si>
  <si>
    <t>ORD-1031</t>
  </si>
  <si>
    <t>ORD-1032</t>
  </si>
  <si>
    <t>ORD-1033</t>
  </si>
  <si>
    <t>ORD-1034</t>
  </si>
  <si>
    <t>ORD-1035</t>
  </si>
  <si>
    <t>ORD-1036</t>
  </si>
  <si>
    <t>ORD-1037</t>
  </si>
  <si>
    <t>ORD-1038</t>
  </si>
  <si>
    <t>ORD-1039</t>
  </si>
  <si>
    <t>ORD-1040</t>
  </si>
  <si>
    <t>ORD-1041</t>
  </si>
  <si>
    <t>ORD-1042</t>
  </si>
  <si>
    <t>ORD-1043</t>
  </si>
  <si>
    <t>ORD-1044</t>
  </si>
  <si>
    <t>ORD-1045</t>
  </si>
  <si>
    <t>ORD-1046</t>
  </si>
  <si>
    <t>ORD-1047</t>
  </si>
  <si>
    <t>ORD-1048</t>
  </si>
  <si>
    <t>ORD-1049</t>
  </si>
  <si>
    <t>ORD-1050</t>
  </si>
  <si>
    <t>ORD-1051</t>
  </si>
  <si>
    <t>ORD-1052</t>
  </si>
  <si>
    <t>ORD-1053</t>
  </si>
  <si>
    <t>ORD-1054</t>
  </si>
  <si>
    <t>ORD-1055</t>
  </si>
  <si>
    <t>ORD-1056</t>
  </si>
  <si>
    <t>ORD-1057</t>
  </si>
  <si>
    <t>ORD-1058</t>
  </si>
  <si>
    <t>ORD-1059</t>
  </si>
  <si>
    <t>ORD-1060</t>
  </si>
  <si>
    <t>ORD-1061</t>
  </si>
  <si>
    <t>ORD-1062</t>
  </si>
  <si>
    <t>ORD-1063</t>
  </si>
  <si>
    <t>ORD-1064</t>
  </si>
  <si>
    <t>ORD-1065</t>
  </si>
  <si>
    <t>ORD-1066</t>
  </si>
  <si>
    <t>ORD-1067</t>
  </si>
  <si>
    <t>ORD-1068</t>
  </si>
  <si>
    <t>ORD-1069</t>
  </si>
  <si>
    <t>ORD-1070</t>
  </si>
  <si>
    <t>ORD-1071</t>
  </si>
  <si>
    <t>ORD-1072</t>
  </si>
  <si>
    <t>ORD-1073</t>
  </si>
  <si>
    <t>ORD-1074</t>
  </si>
  <si>
    <t>ORD-1075</t>
  </si>
  <si>
    <t>ORD-1076</t>
  </si>
  <si>
    <t>ORD-1077</t>
  </si>
  <si>
    <t>ORD-1078</t>
  </si>
  <si>
    <t>ORD-1079</t>
  </si>
  <si>
    <t>ORD-1080</t>
  </si>
  <si>
    <t>ORD-1081</t>
  </si>
  <si>
    <t>ORD-1082</t>
  </si>
  <si>
    <t>ORD-1083</t>
  </si>
  <si>
    <t>ORD-1084</t>
  </si>
  <si>
    <t>ORD-1085</t>
  </si>
  <si>
    <t>ORD-1086</t>
  </si>
  <si>
    <t>ORD-1087</t>
  </si>
  <si>
    <t>ORD-1088</t>
  </si>
  <si>
    <t>ORD-1089</t>
  </si>
  <si>
    <t>ORD-1090</t>
  </si>
  <si>
    <t>ORD-1091</t>
  </si>
  <si>
    <t>ORD-1092</t>
  </si>
  <si>
    <t>ORD-1093</t>
  </si>
  <si>
    <t>ORD-1094</t>
  </si>
  <si>
    <t>ORD-1095</t>
  </si>
  <si>
    <t>ORD-1096</t>
  </si>
  <si>
    <t>ORD-1097</t>
  </si>
  <si>
    <t>ORD-1098</t>
  </si>
  <si>
    <t>ORD-1099</t>
  </si>
  <si>
    <t>ORD-1100</t>
  </si>
  <si>
    <t>ORD-1101</t>
  </si>
  <si>
    <t>ORD-1102</t>
  </si>
  <si>
    <t>ORD-1103</t>
  </si>
  <si>
    <t>ORD-1104</t>
  </si>
  <si>
    <t>ORD-1105</t>
  </si>
  <si>
    <t>ORD-1106</t>
  </si>
  <si>
    <t>ORD-1107</t>
  </si>
  <si>
    <t>ORD-1108</t>
  </si>
  <si>
    <t>ORD-1109</t>
  </si>
  <si>
    <t>ORD-1110</t>
  </si>
  <si>
    <t>ORD-1111</t>
  </si>
  <si>
    <t>ORD-1112</t>
  </si>
  <si>
    <t>ORD-1113</t>
  </si>
  <si>
    <t>ORD-1114</t>
  </si>
  <si>
    <t>ORD-1115</t>
  </si>
  <si>
    <t>ORD-1116</t>
  </si>
  <si>
    <t>ORD-1117</t>
  </si>
  <si>
    <t>ORD-1118</t>
  </si>
  <si>
    <t>ORD-1119</t>
  </si>
  <si>
    <t>ORD-1120</t>
  </si>
  <si>
    <t>ORD-1121</t>
  </si>
  <si>
    <t>ORD-1122</t>
  </si>
  <si>
    <t>ORD-1123</t>
  </si>
  <si>
    <t>ORD-1124</t>
  </si>
  <si>
    <t>ORD-1125</t>
  </si>
  <si>
    <t>ORD-1126</t>
  </si>
  <si>
    <t>ORD-1127</t>
  </si>
  <si>
    <t>ORD-1128</t>
  </si>
  <si>
    <t>ORD-1129</t>
  </si>
  <si>
    <t>ORD-1130</t>
  </si>
  <si>
    <t>ORD-1131</t>
  </si>
  <si>
    <t>ORD-1132</t>
  </si>
  <si>
    <t>ORD-1133</t>
  </si>
  <si>
    <t>ORD-1134</t>
  </si>
  <si>
    <t>ORD-1135</t>
  </si>
  <si>
    <t>ORD-1136</t>
  </si>
  <si>
    <t>ORD-1137</t>
  </si>
  <si>
    <t>ORD-1138</t>
  </si>
  <si>
    <t>ORD-1139</t>
  </si>
  <si>
    <t>ORD-1140</t>
  </si>
  <si>
    <t>ORD-1141</t>
  </si>
  <si>
    <t>ORD-1142</t>
  </si>
  <si>
    <t>ORD-1143</t>
  </si>
  <si>
    <t>ORD-1144</t>
  </si>
  <si>
    <t>ORD-1145</t>
  </si>
  <si>
    <t>ORD-1146</t>
  </si>
  <si>
    <t>ORD-1147</t>
  </si>
  <si>
    <t>ORD-1148</t>
  </si>
  <si>
    <t>ORD-1149</t>
  </si>
  <si>
    <t>Regional &amp; Product Performance Summary</t>
  </si>
  <si>
    <t>Revenue by Region (SUMIFS)</t>
  </si>
  <si>
    <t>Total Revenue</t>
  </si>
  <si>
    <t>Total Units</t>
  </si>
  <si>
    <t>Orders</t>
  </si>
  <si>
    <t>Month</t>
  </si>
  <si>
    <t>SALES PERFORMANCE DASHBOARD</t>
  </si>
  <si>
    <t>Jan</t>
  </si>
  <si>
    <t>Jan 2025 – Jul 2025  |  Auto-generated from Raw Data via SUMIFS / COUNTIFS</t>
  </si>
  <si>
    <t>Feb</t>
  </si>
  <si>
    <t>Mar</t>
  </si>
  <si>
    <t>TOTAL REVENUE</t>
  </si>
  <si>
    <t>TOTAL UNITS SOLD</t>
  </si>
  <si>
    <t>TOTAL ORDERS</t>
  </si>
  <si>
    <t>AVG ORDER VALUE</t>
  </si>
  <si>
    <t>Apr</t>
  </si>
  <si>
    <t>May</t>
  </si>
  <si>
    <t>Jun</t>
  </si>
  <si>
    <t>Jul</t>
  </si>
  <si>
    <t>P. Sipten</t>
  </si>
  <si>
    <t>K. Kamil</t>
  </si>
  <si>
    <t>S. Shahi</t>
  </si>
</sst>
</file>

<file path=xl/styles.xml><?xml version="1.0" encoding="utf-8"?>
<styleSheet xmlns="http://schemas.openxmlformats.org/spreadsheetml/2006/main">
  <numFmts count="1">
    <numFmt numFmtId="164" formatCode="dd\-mmm\-yyyy"/>
  </numFmts>
  <fonts count="9">
    <font>
      <sz val="11"/>
      <color theme="1"/>
      <name val="Calibri"/>
      <family val="2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b/>
      <sz val="18"/>
      <color rgb="FF1F2436"/>
      <name val="Arial"/>
      <charset val="1"/>
    </font>
    <font>
      <b/>
      <sz val="11"/>
      <color rgb="FF4F7CFF"/>
      <name val="Arial"/>
      <charset val="1"/>
    </font>
    <font>
      <b/>
      <sz val="20"/>
      <color rgb="FF1F2436"/>
      <name val="Arial"/>
      <charset val="1"/>
    </font>
    <font>
      <i/>
      <sz val="10"/>
      <color rgb="FF6F86BD"/>
      <name val="Arial"/>
      <charset val="1"/>
    </font>
    <font>
      <b/>
      <sz val="9"/>
      <color rgb="FF6F86BD"/>
      <name val="Arial"/>
      <charset val="1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2436"/>
        <bgColor rgb="FF333300"/>
      </patternFill>
    </fill>
    <fill>
      <patternFill patternType="solid">
        <fgColor rgb="FFEEF2FB"/>
        <bgColor rgb="FFF9F9F9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1" xfId="0" applyFont="1" applyBorder="1"/>
    <xf numFmtId="164" fontId="2" fillId="0" borderId="1" xfId="0" applyNumberFormat="1" applyFont="1" applyBorder="1"/>
    <xf numFmtId="3" fontId="2" fillId="0" borderId="1" xfId="0" applyNumberFormat="1" applyFont="1" applyBorder="1"/>
    <xf numFmtId="0" fontId="4" fillId="0" borderId="0" xfId="0" applyFont="1"/>
    <xf numFmtId="0" fontId="5" fillId="0" borderId="0" xfId="0" applyFont="1"/>
    <xf numFmtId="0" fontId="0" fillId="0" borderId="0" xfId="0" applyFont="1"/>
    <xf numFmtId="3" fontId="0" fillId="0" borderId="0" xfId="0" applyNumberFormat="1"/>
    <xf numFmtId="0" fontId="6" fillId="0" borderId="0" xfId="0" applyFont="1"/>
    <xf numFmtId="0" fontId="3" fillId="0" borderId="0" xfId="0" applyFont="1" applyBorder="1"/>
    <xf numFmtId="0" fontId="7" fillId="3" borderId="0" xfId="0" applyFont="1" applyFill="1" applyBorder="1"/>
    <xf numFmtId="3" fontId="5" fillId="3" borderId="0" xfId="0" applyNumberFormat="1" applyFont="1" applyFill="1" applyBorder="1"/>
    <xf numFmtId="0" fontId="8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4F81BD"/>
      <rgbColor rgb="FFC0C0C0"/>
      <rgbColor rgb="FF878787"/>
      <rgbColor rgb="FF9999FF"/>
      <rgbColor rgb="FFC0504D"/>
      <rgbColor rgb="FFF9F9F9"/>
      <rgbColor rgb="FFEEF2FB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F7CFF"/>
      <rgbColor rgb="FF4BACC6"/>
      <rgbColor rgb="FF9BBB59"/>
      <rgbColor rgb="FFFFCC00"/>
      <rgbColor rgb="FFFF9900"/>
      <rgbColor rgb="FFFF6600"/>
      <rgbColor rgb="FF8064A2"/>
      <rgbColor rgb="FF6F86BD"/>
      <rgbColor rgb="FF003366"/>
      <rgbColor rgb="FF4A7EBB"/>
      <rgbColor rgb="FF003300"/>
      <rgbColor rgb="FF333300"/>
      <rgbColor rgb="FF993300"/>
      <rgbColor rgb="FF993366"/>
      <rgbColor rgb="FF333399"/>
      <rgbColor rgb="FF1F243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Revenue by Region</a:t>
            </a:r>
          </a:p>
        </c:rich>
      </c:tx>
      <c:layout/>
      <c:spPr>
        <a:noFill/>
        <a:ln w="0">
          <a:noFill/>
        </a:ln>
      </c:spPr>
    </c:title>
    <c:plotArea>
      <c:layout/>
      <c:barChart>
        <c:barDir val="col"/>
        <c:grouping val="clustered"/>
        <c:ser>
          <c:idx val="0"/>
          <c:order val="0"/>
          <c:tx>
            <c:strRef>
              <c:f>Summary!$B$4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cat>
            <c:strRef>
              <c:f>Summary!$A$5:$A$8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Summary!$B$5:$B$8</c:f>
              <c:numCache>
                <c:formatCode>#,##0</c:formatCode>
                <c:ptCount val="4"/>
                <c:pt idx="0">
                  <c:v>3615800</c:v>
                </c:pt>
                <c:pt idx="1">
                  <c:v>4768500</c:v>
                </c:pt>
                <c:pt idx="2">
                  <c:v>8267500</c:v>
                </c:pt>
                <c:pt idx="3">
                  <c:v>2704400</c:v>
                </c:pt>
              </c:numCache>
            </c:numRef>
          </c:val>
        </c:ser>
        <c:axId val="122546816"/>
        <c:axId val="131998080"/>
      </c:barChart>
      <c:catAx>
        <c:axId val="122546816"/>
        <c:scaling>
          <c:orientation val="minMax"/>
        </c:scaling>
        <c:axPos val="b"/>
        <c:numFmt formatCode="General" sourceLinked="1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31998080"/>
        <c:crosses val="autoZero"/>
        <c:auto val="1"/>
        <c:lblAlgn val="ctr"/>
        <c:lblOffset val="100"/>
      </c:catAx>
      <c:valAx>
        <c:axId val="131998080"/>
        <c:scaling>
          <c:orientation val="minMax"/>
        </c:scaling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Revenue (INR)</a:t>
                </a:r>
              </a:p>
            </c:rich>
          </c:tx>
          <c:layout/>
          <c:spPr>
            <a:noFill/>
            <a:ln w="0">
              <a:noFill/>
            </a:ln>
          </c:spPr>
        </c:title>
        <c:numFmt formatCode="#,##0" sourceLinked="1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22546816"/>
        <c:crosses val="autoZero"/>
        <c:crossBetween val="between"/>
      </c:valAx>
      <c:spPr>
        <a:noFill/>
        <a:ln w="0">
          <a:noFill/>
        </a:ln>
      </c:spPr>
    </c:plotArea>
    <c:legend>
      <c:legendPos val="r"/>
      <c:layout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/>
          <a:lstStyle/>
          <a:p>
            <a:pPr>
              <a:defRPr/>
            </a:pPr>
            <a:r>
              <a:rPr lang="en-US"/>
              <a:t>Revenue Share by Product</a:t>
            </a:r>
          </a:p>
        </c:rich>
      </c:tx>
      <c:layout/>
    </c:title>
    <c:plotArea>
      <c:layout/>
      <c:pieChart>
        <c:varyColors val="1"/>
        <c:ser>
          <c:idx val="0"/>
          <c:order val="0"/>
          <c:tx>
            <c:strRef>
              <c:f>Summary!#REF!</c:f>
              <c:strCache>
                <c:ptCount val="1"/>
                <c:pt idx="0">
                  <c:v>#REF!</c:v>
                </c:pt>
              </c:strCache>
            </c:strRef>
          </c:tx>
          <c:dLbls>
            <c:showPercent val="1"/>
            <c:separator> </c:separator>
            <c:showLeaderLines val="1"/>
          </c:dLbls>
          <c:cat>
            <c:numRef>
              <c:f>Summary!$A$12:$A$16</c:f>
              <c:numCache>
                <c:formatCode>General</c:formatCode>
                <c:ptCount val="5"/>
              </c:numCache>
            </c:numRef>
          </c:cat>
          <c:val>
            <c:numRef>
              <c:f>Summary!$B$12:$B$16</c:f>
              <c:numCache>
                <c:formatCode>#,##0</c:formatCode>
                <c:ptCount val="5"/>
              </c:numCache>
            </c:numRef>
          </c:val>
        </c:ser>
        <c:dLbls>
          <c:showPercent val="1"/>
        </c:dLbls>
        <c:firstSliceAng val="0"/>
      </c:pieChart>
    </c:plotArea>
    <c:legend>
      <c:legendPos val="t"/>
      <c:layout/>
    </c:legend>
    <c:plotVisOnly val="1"/>
    <c:dispBlanksAs val="zero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Monthly Revenue Trend</a:t>
            </a:r>
          </a:p>
        </c:rich>
      </c:tx>
      <c:layout/>
      <c:spPr>
        <a:noFill/>
        <a:ln w="0">
          <a:noFill/>
        </a:ln>
      </c:spPr>
    </c:title>
    <c:plotArea>
      <c:layout/>
      <c:lineChart>
        <c:grouping val="standard"/>
        <c:ser>
          <c:idx val="0"/>
          <c:order val="0"/>
          <c:tx>
            <c:strRef>
              <c:f>Dashboard!$X$1</c:f>
              <c:strCache>
                <c:ptCount val="1"/>
                <c:pt idx="0">
                  <c:v>Revenue</c:v>
                </c:pt>
              </c:strCache>
            </c:strRef>
          </c:tx>
          <c:spPr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howVal val="1"/>
          </c:dLbls>
          <c:cat>
            <c:strRef>
              <c:f>Dashboard!$W$2:$W$8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Dashboard!$X$2:$X$8</c:f>
              <c:numCache>
                <c:formatCode>#,##0</c:formatCode>
                <c:ptCount val="7"/>
                <c:pt idx="0">
                  <c:v>1738100</c:v>
                </c:pt>
                <c:pt idx="1">
                  <c:v>2676400</c:v>
                </c:pt>
                <c:pt idx="2">
                  <c:v>3553400</c:v>
                </c:pt>
                <c:pt idx="3">
                  <c:v>5604100</c:v>
                </c:pt>
                <c:pt idx="4">
                  <c:v>748000</c:v>
                </c:pt>
                <c:pt idx="5">
                  <c:v>3182200</c:v>
                </c:pt>
                <c:pt idx="6">
                  <c:v>1854000</c:v>
                </c:pt>
              </c:numCache>
            </c:numRef>
          </c:val>
          <c:smooth val="1"/>
        </c:ser>
        <c:dLbls>
          <c:showVal val="1"/>
        </c:dLbls>
        <c:marker val="1"/>
        <c:axId val="132193664"/>
        <c:axId val="132195456"/>
      </c:lineChart>
      <c:catAx>
        <c:axId val="132193664"/>
        <c:scaling>
          <c:orientation val="minMax"/>
        </c:scaling>
        <c:axPos val="b"/>
        <c:numFmt formatCode="General" sourceLinked="1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32195456"/>
        <c:crosses val="autoZero"/>
        <c:auto val="1"/>
        <c:lblAlgn val="ctr"/>
        <c:lblOffset val="100"/>
      </c:catAx>
      <c:valAx>
        <c:axId val="132195456"/>
        <c:scaling>
          <c:orientation val="minMax"/>
        </c:scaling>
        <c:delete val="1"/>
        <c:axPos val="l"/>
        <c:numFmt formatCode="#,##0" sourceLinked="1"/>
        <c:majorTickMark val="none"/>
        <c:tickLblPos val="nextTo"/>
        <c:crossAx val="132193664"/>
        <c:crosses val="autoZero"/>
        <c:crossBetween val="between"/>
      </c:valAx>
      <c:spPr>
        <a:noFill/>
        <a:ln w="0">
          <a:noFill/>
        </a:ln>
      </c:spPr>
    </c:plotArea>
    <c:legend>
      <c:legendPos val="t"/>
      <c:layout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8</xdr:row>
      <xdr:rowOff>56952</xdr:rowOff>
    </xdr:from>
    <xdr:to>
      <xdr:col>7</xdr:col>
      <xdr:colOff>28538</xdr:colOff>
      <xdr:row>23</xdr:row>
      <xdr:rowOff>79272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</xdr:row>
      <xdr:rowOff>70560</xdr:rowOff>
    </xdr:from>
    <xdr:to>
      <xdr:col>14</xdr:col>
      <xdr:colOff>625928</xdr:colOff>
      <xdr:row>23</xdr:row>
      <xdr:rowOff>92880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762000</xdr:colOff>
      <xdr:row>20</xdr:row>
      <xdr:rowOff>2165</xdr:rowOff>
    </xdr:from>
    <xdr:to>
      <xdr:col>17</xdr:col>
      <xdr:colOff>612322</xdr:colOff>
      <xdr:row>33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151"/>
  <sheetViews>
    <sheetView tabSelected="1" workbookViewId="0">
      <pane ySplit="1" topLeftCell="A2" activePane="bottomLeft" state="frozen"/>
      <selection pane="bottomLeft" activeCell="G7" sqref="G7"/>
    </sheetView>
  </sheetViews>
  <sheetFormatPr defaultColWidth="8.7109375" defaultRowHeight="15"/>
  <cols>
    <col min="1" max="2" width="12" customWidth="1"/>
    <col min="3" max="4" width="10" customWidth="1"/>
    <col min="5" max="5" width="12" customWidth="1"/>
    <col min="6" max="6" width="8" customWidth="1"/>
    <col min="7" max="7" width="11" customWidth="1"/>
    <col min="8" max="8" width="12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2" t="s">
        <v>8</v>
      </c>
      <c r="B2" s="3">
        <v>45821</v>
      </c>
      <c r="C2" s="2" t="s">
        <v>9</v>
      </c>
      <c r="D2" s="2" t="s">
        <v>10</v>
      </c>
      <c r="E2" s="13" t="s">
        <v>191</v>
      </c>
      <c r="F2" s="2">
        <v>9</v>
      </c>
      <c r="G2" s="4">
        <v>1000</v>
      </c>
      <c r="H2" s="4">
        <f t="shared" ref="H2:H33" si="0">F2*G2</f>
        <v>9000</v>
      </c>
    </row>
    <row r="3" spans="1:8">
      <c r="A3" s="2" t="s">
        <v>12</v>
      </c>
      <c r="B3" s="3">
        <v>45715</v>
      </c>
      <c r="C3" s="2" t="s">
        <v>13</v>
      </c>
      <c r="D3" s="2" t="s">
        <v>10</v>
      </c>
      <c r="E3" s="13" t="s">
        <v>192</v>
      </c>
      <c r="F3" s="2">
        <v>11</v>
      </c>
      <c r="G3" s="4">
        <v>500</v>
      </c>
      <c r="H3" s="4">
        <f t="shared" si="0"/>
        <v>5500</v>
      </c>
    </row>
    <row r="4" spans="1:8">
      <c r="A4" s="2" t="s">
        <v>15</v>
      </c>
      <c r="B4" s="3">
        <v>45809</v>
      </c>
      <c r="C4" s="2" t="s">
        <v>16</v>
      </c>
      <c r="D4" s="2" t="s">
        <v>10</v>
      </c>
      <c r="E4" s="13" t="s">
        <v>17</v>
      </c>
      <c r="F4" s="2">
        <v>3</v>
      </c>
      <c r="G4" s="4">
        <v>55000</v>
      </c>
      <c r="H4" s="4">
        <f t="shared" si="0"/>
        <v>165000</v>
      </c>
    </row>
    <row r="5" spans="1:8">
      <c r="A5" s="2" t="s">
        <v>18</v>
      </c>
      <c r="B5" s="3">
        <v>45713</v>
      </c>
      <c r="C5" s="2" t="s">
        <v>13</v>
      </c>
      <c r="D5" s="2" t="s">
        <v>19</v>
      </c>
      <c r="E5" s="13" t="s">
        <v>14</v>
      </c>
      <c r="F5" s="2">
        <v>1</v>
      </c>
      <c r="G5" s="4">
        <v>2200</v>
      </c>
      <c r="H5" s="4">
        <f t="shared" si="0"/>
        <v>2200</v>
      </c>
    </row>
    <row r="6" spans="1:8">
      <c r="A6" s="2" t="s">
        <v>20</v>
      </c>
      <c r="B6" s="3">
        <v>45801</v>
      </c>
      <c r="C6" s="2" t="s">
        <v>13</v>
      </c>
      <c r="D6" s="2" t="s">
        <v>19</v>
      </c>
      <c r="E6" s="13" t="s">
        <v>193</v>
      </c>
      <c r="F6" s="2">
        <v>4</v>
      </c>
      <c r="G6" s="4">
        <v>2200</v>
      </c>
      <c r="H6" s="4">
        <f t="shared" si="0"/>
        <v>8800</v>
      </c>
    </row>
    <row r="7" spans="1:8">
      <c r="A7" s="2" t="s">
        <v>22</v>
      </c>
      <c r="B7" s="3">
        <v>45772</v>
      </c>
      <c r="C7" s="2" t="s">
        <v>23</v>
      </c>
      <c r="D7" s="2" t="s">
        <v>10</v>
      </c>
      <c r="E7" s="2" t="s">
        <v>24</v>
      </c>
      <c r="F7" s="2">
        <v>14</v>
      </c>
      <c r="G7" s="4">
        <v>55000</v>
      </c>
      <c r="H7" s="4">
        <f t="shared" si="0"/>
        <v>770000</v>
      </c>
    </row>
    <row r="8" spans="1:8">
      <c r="A8" s="2" t="s">
        <v>25</v>
      </c>
      <c r="B8" s="3">
        <v>45745</v>
      </c>
      <c r="C8" s="2" t="s">
        <v>23</v>
      </c>
      <c r="D8" s="2" t="s">
        <v>26</v>
      </c>
      <c r="E8" s="2" t="s">
        <v>24</v>
      </c>
      <c r="F8" s="2">
        <v>11</v>
      </c>
      <c r="G8" s="4">
        <v>9500</v>
      </c>
      <c r="H8" s="4">
        <f t="shared" si="0"/>
        <v>104500</v>
      </c>
    </row>
    <row r="9" spans="1:8">
      <c r="A9" s="2" t="s">
        <v>27</v>
      </c>
      <c r="B9" s="3">
        <v>45684</v>
      </c>
      <c r="C9" s="2" t="s">
        <v>9</v>
      </c>
      <c r="D9" s="2" t="s">
        <v>28</v>
      </c>
      <c r="E9" s="2" t="s">
        <v>17</v>
      </c>
      <c r="F9" s="2">
        <v>12</v>
      </c>
      <c r="G9" s="4">
        <v>700</v>
      </c>
      <c r="H9" s="4">
        <f t="shared" si="0"/>
        <v>8400</v>
      </c>
    </row>
    <row r="10" spans="1:8">
      <c r="A10" s="2" t="s">
        <v>29</v>
      </c>
      <c r="B10" s="3">
        <v>45746</v>
      </c>
      <c r="C10" s="2" t="s">
        <v>23</v>
      </c>
      <c r="D10" s="2" t="s">
        <v>10</v>
      </c>
      <c r="E10" s="2" t="s">
        <v>21</v>
      </c>
      <c r="F10" s="2">
        <v>18</v>
      </c>
      <c r="G10" s="4">
        <v>55000</v>
      </c>
      <c r="H10" s="4">
        <f t="shared" si="0"/>
        <v>990000</v>
      </c>
    </row>
    <row r="11" spans="1:8">
      <c r="A11" s="2" t="s">
        <v>30</v>
      </c>
      <c r="B11" s="3">
        <v>45689</v>
      </c>
      <c r="C11" s="2" t="s">
        <v>16</v>
      </c>
      <c r="D11" s="2" t="s">
        <v>10</v>
      </c>
      <c r="E11" s="2" t="s">
        <v>14</v>
      </c>
      <c r="F11" s="2">
        <v>10</v>
      </c>
      <c r="G11" s="4">
        <v>55000</v>
      </c>
      <c r="H11" s="4">
        <f t="shared" si="0"/>
        <v>550000</v>
      </c>
    </row>
    <row r="12" spans="1:8">
      <c r="A12" s="2" t="s">
        <v>31</v>
      </c>
      <c r="B12" s="3">
        <v>45818</v>
      </c>
      <c r="C12" s="2" t="s">
        <v>23</v>
      </c>
      <c r="D12" s="2" t="s">
        <v>19</v>
      </c>
      <c r="E12" s="2" t="s">
        <v>24</v>
      </c>
      <c r="F12" s="2">
        <v>3</v>
      </c>
      <c r="G12" s="4">
        <v>2200</v>
      </c>
      <c r="H12" s="4">
        <f t="shared" si="0"/>
        <v>6600</v>
      </c>
    </row>
    <row r="13" spans="1:8">
      <c r="A13" s="2" t="s">
        <v>32</v>
      </c>
      <c r="B13" s="3">
        <v>45669</v>
      </c>
      <c r="C13" s="2" t="s">
        <v>13</v>
      </c>
      <c r="D13" s="2" t="s">
        <v>33</v>
      </c>
      <c r="E13" s="2" t="s">
        <v>17</v>
      </c>
      <c r="F13" s="2">
        <v>8</v>
      </c>
      <c r="G13" s="4">
        <v>1200</v>
      </c>
      <c r="H13" s="4">
        <f t="shared" si="0"/>
        <v>9600</v>
      </c>
    </row>
    <row r="14" spans="1:8">
      <c r="A14" s="2" t="s">
        <v>34</v>
      </c>
      <c r="B14" s="3">
        <v>45683</v>
      </c>
      <c r="C14" s="2" t="s">
        <v>16</v>
      </c>
      <c r="D14" s="2" t="s">
        <v>33</v>
      </c>
      <c r="E14" s="2" t="s">
        <v>21</v>
      </c>
      <c r="F14" s="2">
        <v>12</v>
      </c>
      <c r="G14" s="4">
        <v>1200</v>
      </c>
      <c r="H14" s="4">
        <f t="shared" si="0"/>
        <v>14400</v>
      </c>
    </row>
    <row r="15" spans="1:8">
      <c r="A15" s="2" t="s">
        <v>35</v>
      </c>
      <c r="B15" s="3">
        <v>45699</v>
      </c>
      <c r="C15" s="2" t="s">
        <v>23</v>
      </c>
      <c r="D15" s="2" t="s">
        <v>33</v>
      </c>
      <c r="E15" s="2" t="s">
        <v>24</v>
      </c>
      <c r="F15" s="2">
        <v>9</v>
      </c>
      <c r="G15" s="4">
        <v>1200</v>
      </c>
      <c r="H15" s="4">
        <f t="shared" si="0"/>
        <v>10800</v>
      </c>
    </row>
    <row r="16" spans="1:8">
      <c r="A16" s="2" t="s">
        <v>36</v>
      </c>
      <c r="B16" s="3">
        <v>45837</v>
      </c>
      <c r="C16" s="2" t="s">
        <v>9</v>
      </c>
      <c r="D16" s="2" t="s">
        <v>19</v>
      </c>
      <c r="E16" s="2" t="s">
        <v>24</v>
      </c>
      <c r="F16" s="2">
        <v>18</v>
      </c>
      <c r="G16" s="4">
        <v>2200</v>
      </c>
      <c r="H16" s="4">
        <f t="shared" si="0"/>
        <v>39600</v>
      </c>
    </row>
    <row r="17" spans="1:8">
      <c r="A17" s="2" t="s">
        <v>37</v>
      </c>
      <c r="B17" s="3">
        <v>45844</v>
      </c>
      <c r="C17" s="2" t="s">
        <v>13</v>
      </c>
      <c r="D17" s="2" t="s">
        <v>26</v>
      </c>
      <c r="E17" s="2" t="s">
        <v>21</v>
      </c>
      <c r="F17" s="2">
        <v>13</v>
      </c>
      <c r="G17" s="4">
        <v>9500</v>
      </c>
      <c r="H17" s="4">
        <f t="shared" si="0"/>
        <v>123500</v>
      </c>
    </row>
    <row r="18" spans="1:8">
      <c r="A18" s="2" t="s">
        <v>38</v>
      </c>
      <c r="B18" s="3">
        <v>45727</v>
      </c>
      <c r="C18" s="2" t="s">
        <v>13</v>
      </c>
      <c r="D18" s="2" t="s">
        <v>33</v>
      </c>
      <c r="E18" s="2" t="s">
        <v>17</v>
      </c>
      <c r="F18" s="2">
        <v>8</v>
      </c>
      <c r="G18" s="4">
        <v>1200</v>
      </c>
      <c r="H18" s="4">
        <f t="shared" si="0"/>
        <v>9600</v>
      </c>
    </row>
    <row r="19" spans="1:8">
      <c r="A19" s="2" t="s">
        <v>39</v>
      </c>
      <c r="B19" s="3">
        <v>45868</v>
      </c>
      <c r="C19" s="2" t="s">
        <v>9</v>
      </c>
      <c r="D19" s="2" t="s">
        <v>33</v>
      </c>
      <c r="E19" s="2" t="s">
        <v>21</v>
      </c>
      <c r="F19" s="2">
        <v>9</v>
      </c>
      <c r="G19" s="4">
        <v>1200</v>
      </c>
      <c r="H19" s="4">
        <f t="shared" si="0"/>
        <v>10800</v>
      </c>
    </row>
    <row r="20" spans="1:8">
      <c r="A20" s="2" t="s">
        <v>40</v>
      </c>
      <c r="B20" s="3">
        <v>45674</v>
      </c>
      <c r="C20" s="2" t="s">
        <v>13</v>
      </c>
      <c r="D20" s="2" t="s">
        <v>19</v>
      </c>
      <c r="E20" s="2" t="s">
        <v>11</v>
      </c>
      <c r="F20" s="2">
        <v>7</v>
      </c>
      <c r="G20" s="4">
        <v>2200</v>
      </c>
      <c r="H20" s="4">
        <f t="shared" si="0"/>
        <v>15400</v>
      </c>
    </row>
    <row r="21" spans="1:8">
      <c r="A21" s="2" t="s">
        <v>41</v>
      </c>
      <c r="B21" s="3">
        <v>45825</v>
      </c>
      <c r="C21" s="2" t="s">
        <v>16</v>
      </c>
      <c r="D21" s="2" t="s">
        <v>28</v>
      </c>
      <c r="E21" s="2" t="s">
        <v>21</v>
      </c>
      <c r="F21" s="2">
        <v>5</v>
      </c>
      <c r="G21" s="4">
        <v>700</v>
      </c>
      <c r="H21" s="4">
        <f t="shared" si="0"/>
        <v>3500</v>
      </c>
    </row>
    <row r="22" spans="1:8">
      <c r="A22" s="2" t="s">
        <v>42</v>
      </c>
      <c r="B22" s="3">
        <v>45725</v>
      </c>
      <c r="C22" s="2" t="s">
        <v>13</v>
      </c>
      <c r="D22" s="2" t="s">
        <v>26</v>
      </c>
      <c r="E22" s="2" t="s">
        <v>14</v>
      </c>
      <c r="F22" s="2">
        <v>18</v>
      </c>
      <c r="G22" s="4">
        <v>9500</v>
      </c>
      <c r="H22" s="4">
        <f t="shared" si="0"/>
        <v>171000</v>
      </c>
    </row>
    <row r="23" spans="1:8">
      <c r="A23" s="2" t="s">
        <v>43</v>
      </c>
      <c r="B23" s="3">
        <v>45725</v>
      </c>
      <c r="C23" s="2" t="s">
        <v>16</v>
      </c>
      <c r="D23" s="2" t="s">
        <v>19</v>
      </c>
      <c r="E23" s="2" t="s">
        <v>21</v>
      </c>
      <c r="F23" s="2">
        <v>12</v>
      </c>
      <c r="G23" s="4">
        <v>2200</v>
      </c>
      <c r="H23" s="4">
        <f t="shared" si="0"/>
        <v>26400</v>
      </c>
    </row>
    <row r="24" spans="1:8">
      <c r="A24" s="2" t="s">
        <v>44</v>
      </c>
      <c r="B24" s="3">
        <v>45714</v>
      </c>
      <c r="C24" s="2" t="s">
        <v>13</v>
      </c>
      <c r="D24" s="2" t="s">
        <v>19</v>
      </c>
      <c r="E24" s="2" t="s">
        <v>21</v>
      </c>
      <c r="F24" s="2">
        <v>3</v>
      </c>
      <c r="G24" s="4">
        <v>2200</v>
      </c>
      <c r="H24" s="4">
        <f t="shared" si="0"/>
        <v>6600</v>
      </c>
    </row>
    <row r="25" spans="1:8">
      <c r="A25" s="2" t="s">
        <v>45</v>
      </c>
      <c r="B25" s="3">
        <v>45851</v>
      </c>
      <c r="C25" s="2" t="s">
        <v>9</v>
      </c>
      <c r="D25" s="2" t="s">
        <v>10</v>
      </c>
      <c r="E25" s="2" t="s">
        <v>24</v>
      </c>
      <c r="F25" s="2">
        <v>6</v>
      </c>
      <c r="G25" s="4">
        <v>55000</v>
      </c>
      <c r="H25" s="4">
        <f t="shared" si="0"/>
        <v>330000</v>
      </c>
    </row>
    <row r="26" spans="1:8">
      <c r="A26" s="2" t="s">
        <v>46</v>
      </c>
      <c r="B26" s="3">
        <v>45860</v>
      </c>
      <c r="C26" s="2" t="s">
        <v>16</v>
      </c>
      <c r="D26" s="2" t="s">
        <v>19</v>
      </c>
      <c r="E26" s="2" t="s">
        <v>17</v>
      </c>
      <c r="F26" s="2">
        <v>13</v>
      </c>
      <c r="G26" s="4">
        <v>2200</v>
      </c>
      <c r="H26" s="4">
        <f t="shared" si="0"/>
        <v>28600</v>
      </c>
    </row>
    <row r="27" spans="1:8">
      <c r="A27" s="2" t="s">
        <v>47</v>
      </c>
      <c r="B27" s="3">
        <v>45755</v>
      </c>
      <c r="C27" s="2" t="s">
        <v>16</v>
      </c>
      <c r="D27" s="2" t="s">
        <v>19</v>
      </c>
      <c r="E27" s="2" t="s">
        <v>11</v>
      </c>
      <c r="F27" s="2">
        <v>18</v>
      </c>
      <c r="G27" s="4">
        <v>2200</v>
      </c>
      <c r="H27" s="4">
        <f t="shared" si="0"/>
        <v>39600</v>
      </c>
    </row>
    <row r="28" spans="1:8">
      <c r="A28" s="2" t="s">
        <v>48</v>
      </c>
      <c r="B28" s="3">
        <v>45660</v>
      </c>
      <c r="C28" s="2" t="s">
        <v>9</v>
      </c>
      <c r="D28" s="2" t="s">
        <v>19</v>
      </c>
      <c r="E28" s="2" t="s">
        <v>11</v>
      </c>
      <c r="F28" s="2">
        <v>11</v>
      </c>
      <c r="G28" s="4">
        <v>2200</v>
      </c>
      <c r="H28" s="4">
        <f t="shared" si="0"/>
        <v>24200</v>
      </c>
    </row>
    <row r="29" spans="1:8">
      <c r="A29" s="2" t="s">
        <v>49</v>
      </c>
      <c r="B29" s="3">
        <v>45686</v>
      </c>
      <c r="C29" s="2" t="s">
        <v>23</v>
      </c>
      <c r="D29" s="2" t="s">
        <v>28</v>
      </c>
      <c r="E29" s="2" t="s">
        <v>24</v>
      </c>
      <c r="F29" s="2">
        <v>15</v>
      </c>
      <c r="G29" s="4">
        <v>700</v>
      </c>
      <c r="H29" s="4">
        <f t="shared" si="0"/>
        <v>10500</v>
      </c>
    </row>
    <row r="30" spans="1:8">
      <c r="A30" s="2" t="s">
        <v>50</v>
      </c>
      <c r="B30" s="3">
        <v>45658</v>
      </c>
      <c r="C30" s="2" t="s">
        <v>23</v>
      </c>
      <c r="D30" s="2" t="s">
        <v>19</v>
      </c>
      <c r="E30" s="2" t="s">
        <v>24</v>
      </c>
      <c r="F30" s="2">
        <v>17</v>
      </c>
      <c r="G30" s="4">
        <v>2200</v>
      </c>
      <c r="H30" s="4">
        <f t="shared" si="0"/>
        <v>37400</v>
      </c>
    </row>
    <row r="31" spans="1:8">
      <c r="A31" s="2" t="s">
        <v>51</v>
      </c>
      <c r="B31" s="3">
        <v>45685</v>
      </c>
      <c r="C31" s="2" t="s">
        <v>23</v>
      </c>
      <c r="D31" s="2" t="s">
        <v>19</v>
      </c>
      <c r="E31" s="2" t="s">
        <v>14</v>
      </c>
      <c r="F31" s="2">
        <v>7</v>
      </c>
      <c r="G31" s="4">
        <v>2200</v>
      </c>
      <c r="H31" s="4">
        <f t="shared" si="0"/>
        <v>15400</v>
      </c>
    </row>
    <row r="32" spans="1:8">
      <c r="A32" s="2" t="s">
        <v>52</v>
      </c>
      <c r="B32" s="3">
        <v>45697</v>
      </c>
      <c r="C32" s="2" t="s">
        <v>23</v>
      </c>
      <c r="D32" s="2" t="s">
        <v>26</v>
      </c>
      <c r="E32" s="2" t="s">
        <v>14</v>
      </c>
      <c r="F32" s="2">
        <v>17</v>
      </c>
      <c r="G32" s="4">
        <v>9500</v>
      </c>
      <c r="H32" s="4">
        <f t="shared" si="0"/>
        <v>161500</v>
      </c>
    </row>
    <row r="33" spans="1:8">
      <c r="A33" s="2" t="s">
        <v>53</v>
      </c>
      <c r="B33" s="3">
        <v>45658</v>
      </c>
      <c r="C33" s="2" t="s">
        <v>23</v>
      </c>
      <c r="D33" s="2" t="s">
        <v>28</v>
      </c>
      <c r="E33" s="2" t="s">
        <v>17</v>
      </c>
      <c r="F33" s="2">
        <v>4</v>
      </c>
      <c r="G33" s="4">
        <v>700</v>
      </c>
      <c r="H33" s="4">
        <f t="shared" si="0"/>
        <v>2800</v>
      </c>
    </row>
    <row r="34" spans="1:8">
      <c r="A34" s="2" t="s">
        <v>54</v>
      </c>
      <c r="B34" s="3">
        <v>45750</v>
      </c>
      <c r="C34" s="2" t="s">
        <v>23</v>
      </c>
      <c r="D34" s="2" t="s">
        <v>26</v>
      </c>
      <c r="E34" s="2" t="s">
        <v>17</v>
      </c>
      <c r="F34" s="2">
        <v>8</v>
      </c>
      <c r="G34" s="4">
        <v>9500</v>
      </c>
      <c r="H34" s="4">
        <f t="shared" ref="H34:H65" si="1">F34*G34</f>
        <v>76000</v>
      </c>
    </row>
    <row r="35" spans="1:8">
      <c r="A35" s="2" t="s">
        <v>55</v>
      </c>
      <c r="B35" s="3">
        <v>45803</v>
      </c>
      <c r="C35" s="2" t="s">
        <v>9</v>
      </c>
      <c r="D35" s="2" t="s">
        <v>10</v>
      </c>
      <c r="E35" s="2" t="s">
        <v>21</v>
      </c>
      <c r="F35" s="2">
        <v>3</v>
      </c>
      <c r="G35" s="4">
        <v>55000</v>
      </c>
      <c r="H35" s="4">
        <f t="shared" si="1"/>
        <v>165000</v>
      </c>
    </row>
    <row r="36" spans="1:8">
      <c r="A36" s="2" t="s">
        <v>56</v>
      </c>
      <c r="B36" s="3">
        <v>45852</v>
      </c>
      <c r="C36" s="2" t="s">
        <v>13</v>
      </c>
      <c r="D36" s="2" t="s">
        <v>26</v>
      </c>
      <c r="E36" s="2" t="s">
        <v>21</v>
      </c>
      <c r="F36" s="2">
        <v>18</v>
      </c>
      <c r="G36" s="4">
        <v>9500</v>
      </c>
      <c r="H36" s="4">
        <f t="shared" si="1"/>
        <v>171000</v>
      </c>
    </row>
    <row r="37" spans="1:8">
      <c r="A37" s="2" t="s">
        <v>57</v>
      </c>
      <c r="B37" s="3">
        <v>45700</v>
      </c>
      <c r="C37" s="2" t="s">
        <v>23</v>
      </c>
      <c r="D37" s="2" t="s">
        <v>19</v>
      </c>
      <c r="E37" s="2" t="s">
        <v>14</v>
      </c>
      <c r="F37" s="2">
        <v>14</v>
      </c>
      <c r="G37" s="4">
        <v>2200</v>
      </c>
      <c r="H37" s="4">
        <f t="shared" si="1"/>
        <v>30800</v>
      </c>
    </row>
    <row r="38" spans="1:8">
      <c r="A38" s="2" t="s">
        <v>58</v>
      </c>
      <c r="B38" s="3">
        <v>45712</v>
      </c>
      <c r="C38" s="2" t="s">
        <v>13</v>
      </c>
      <c r="D38" s="2" t="s">
        <v>33</v>
      </c>
      <c r="E38" s="2" t="s">
        <v>21</v>
      </c>
      <c r="F38" s="2">
        <v>12</v>
      </c>
      <c r="G38" s="4">
        <v>1200</v>
      </c>
      <c r="H38" s="4">
        <f t="shared" si="1"/>
        <v>14400</v>
      </c>
    </row>
    <row r="39" spans="1:8">
      <c r="A39" s="2" t="s">
        <v>59</v>
      </c>
      <c r="B39" s="3">
        <v>45770</v>
      </c>
      <c r="C39" s="2" t="s">
        <v>16</v>
      </c>
      <c r="D39" s="2" t="s">
        <v>10</v>
      </c>
      <c r="E39" s="2" t="s">
        <v>24</v>
      </c>
      <c r="F39" s="2">
        <v>8</v>
      </c>
      <c r="G39" s="4">
        <v>55000</v>
      </c>
      <c r="H39" s="4">
        <f t="shared" si="1"/>
        <v>440000</v>
      </c>
    </row>
    <row r="40" spans="1:8">
      <c r="A40" s="2" t="s">
        <v>60</v>
      </c>
      <c r="B40" s="3">
        <v>45674</v>
      </c>
      <c r="C40" s="2" t="s">
        <v>23</v>
      </c>
      <c r="D40" s="2" t="s">
        <v>10</v>
      </c>
      <c r="E40" s="2" t="s">
        <v>14</v>
      </c>
      <c r="F40" s="2">
        <v>18</v>
      </c>
      <c r="G40" s="4">
        <v>55000</v>
      </c>
      <c r="H40" s="4">
        <f t="shared" si="1"/>
        <v>990000</v>
      </c>
    </row>
    <row r="41" spans="1:8">
      <c r="A41" s="2" t="s">
        <v>61</v>
      </c>
      <c r="B41" s="3">
        <v>45716</v>
      </c>
      <c r="C41" s="2" t="s">
        <v>13</v>
      </c>
      <c r="D41" s="2" t="s">
        <v>10</v>
      </c>
      <c r="E41" s="2" t="s">
        <v>17</v>
      </c>
      <c r="F41" s="2">
        <v>2</v>
      </c>
      <c r="G41" s="4">
        <v>55000</v>
      </c>
      <c r="H41" s="4">
        <f t="shared" si="1"/>
        <v>110000</v>
      </c>
    </row>
    <row r="42" spans="1:8">
      <c r="A42" s="2" t="s">
        <v>62</v>
      </c>
      <c r="B42" s="3">
        <v>45716</v>
      </c>
      <c r="C42" s="2" t="s">
        <v>9</v>
      </c>
      <c r="D42" s="2" t="s">
        <v>10</v>
      </c>
      <c r="E42" s="2" t="s">
        <v>11</v>
      </c>
      <c r="F42" s="2">
        <v>3</v>
      </c>
      <c r="G42" s="4">
        <v>55000</v>
      </c>
      <c r="H42" s="4">
        <f t="shared" si="1"/>
        <v>165000</v>
      </c>
    </row>
    <row r="43" spans="1:8">
      <c r="A43" s="2" t="s">
        <v>63</v>
      </c>
      <c r="B43" s="3">
        <v>45789</v>
      </c>
      <c r="C43" s="2" t="s">
        <v>13</v>
      </c>
      <c r="D43" s="2" t="s">
        <v>33</v>
      </c>
      <c r="E43" s="2" t="s">
        <v>21</v>
      </c>
      <c r="F43" s="2">
        <v>7</v>
      </c>
      <c r="G43" s="4">
        <v>1200</v>
      </c>
      <c r="H43" s="4">
        <f t="shared" si="1"/>
        <v>8400</v>
      </c>
    </row>
    <row r="44" spans="1:8">
      <c r="A44" s="2" t="s">
        <v>64</v>
      </c>
      <c r="B44" s="3">
        <v>45796</v>
      </c>
      <c r="C44" s="2" t="s">
        <v>13</v>
      </c>
      <c r="D44" s="2" t="s">
        <v>19</v>
      </c>
      <c r="E44" s="2" t="s">
        <v>14</v>
      </c>
      <c r="F44" s="2">
        <v>16</v>
      </c>
      <c r="G44" s="4">
        <v>2200</v>
      </c>
      <c r="H44" s="4">
        <f t="shared" si="1"/>
        <v>35200</v>
      </c>
    </row>
    <row r="45" spans="1:8">
      <c r="A45" s="2" t="s">
        <v>65</v>
      </c>
      <c r="B45" s="3">
        <v>45720</v>
      </c>
      <c r="C45" s="2" t="s">
        <v>16</v>
      </c>
      <c r="D45" s="2" t="s">
        <v>28</v>
      </c>
      <c r="E45" s="2" t="s">
        <v>24</v>
      </c>
      <c r="F45" s="2">
        <v>4</v>
      </c>
      <c r="G45" s="4">
        <v>700</v>
      </c>
      <c r="H45" s="4">
        <f t="shared" si="1"/>
        <v>2800</v>
      </c>
    </row>
    <row r="46" spans="1:8">
      <c r="A46" s="2" t="s">
        <v>66</v>
      </c>
      <c r="B46" s="3">
        <v>45682</v>
      </c>
      <c r="C46" s="2" t="s">
        <v>16</v>
      </c>
      <c r="D46" s="2" t="s">
        <v>33</v>
      </c>
      <c r="E46" s="2" t="s">
        <v>21</v>
      </c>
      <c r="F46" s="2">
        <v>14</v>
      </c>
      <c r="G46" s="4">
        <v>1200</v>
      </c>
      <c r="H46" s="4">
        <f t="shared" si="1"/>
        <v>16800</v>
      </c>
    </row>
    <row r="47" spans="1:8">
      <c r="A47" s="2" t="s">
        <v>67</v>
      </c>
      <c r="B47" s="3">
        <v>45777</v>
      </c>
      <c r="C47" s="2" t="s">
        <v>9</v>
      </c>
      <c r="D47" s="2" t="s">
        <v>10</v>
      </c>
      <c r="E47" s="2" t="s">
        <v>17</v>
      </c>
      <c r="F47" s="2">
        <v>13</v>
      </c>
      <c r="G47" s="4">
        <v>55000</v>
      </c>
      <c r="H47" s="4">
        <f t="shared" si="1"/>
        <v>715000</v>
      </c>
    </row>
    <row r="48" spans="1:8">
      <c r="A48" s="2" t="s">
        <v>68</v>
      </c>
      <c r="B48" s="3">
        <v>45844</v>
      </c>
      <c r="C48" s="2" t="s">
        <v>23</v>
      </c>
      <c r="D48" s="2" t="s">
        <v>10</v>
      </c>
      <c r="E48" s="2" t="s">
        <v>24</v>
      </c>
      <c r="F48" s="2">
        <v>7</v>
      </c>
      <c r="G48" s="4">
        <v>55000</v>
      </c>
      <c r="H48" s="4">
        <f t="shared" si="1"/>
        <v>385000</v>
      </c>
    </row>
    <row r="49" spans="1:8">
      <c r="A49" s="2" t="s">
        <v>69</v>
      </c>
      <c r="B49" s="3">
        <v>45706</v>
      </c>
      <c r="C49" s="2" t="s">
        <v>16</v>
      </c>
      <c r="D49" s="2" t="s">
        <v>26</v>
      </c>
      <c r="E49" s="2" t="s">
        <v>21</v>
      </c>
      <c r="F49" s="2">
        <v>6</v>
      </c>
      <c r="G49" s="4">
        <v>9500</v>
      </c>
      <c r="H49" s="4">
        <f t="shared" si="1"/>
        <v>57000</v>
      </c>
    </row>
    <row r="50" spans="1:8">
      <c r="A50" s="2" t="s">
        <v>70</v>
      </c>
      <c r="B50" s="3">
        <v>45729</v>
      </c>
      <c r="C50" s="2" t="s">
        <v>16</v>
      </c>
      <c r="D50" s="2" t="s">
        <v>26</v>
      </c>
      <c r="E50" s="2" t="s">
        <v>17</v>
      </c>
      <c r="F50" s="2">
        <v>15</v>
      </c>
      <c r="G50" s="4">
        <v>9500</v>
      </c>
      <c r="H50" s="4">
        <f t="shared" si="1"/>
        <v>142500</v>
      </c>
    </row>
    <row r="51" spans="1:8">
      <c r="A51" s="2" t="s">
        <v>71</v>
      </c>
      <c r="B51" s="3">
        <v>45864</v>
      </c>
      <c r="C51" s="2" t="s">
        <v>9</v>
      </c>
      <c r="D51" s="2" t="s">
        <v>10</v>
      </c>
      <c r="E51" s="2" t="s">
        <v>14</v>
      </c>
      <c r="F51" s="2">
        <v>1</v>
      </c>
      <c r="G51" s="4">
        <v>55000</v>
      </c>
      <c r="H51" s="4">
        <f t="shared" si="1"/>
        <v>55000</v>
      </c>
    </row>
    <row r="52" spans="1:8">
      <c r="A52" s="2" t="s">
        <v>72</v>
      </c>
      <c r="B52" s="3">
        <v>45681</v>
      </c>
      <c r="C52" s="2" t="s">
        <v>13</v>
      </c>
      <c r="D52" s="2" t="s">
        <v>26</v>
      </c>
      <c r="E52" s="2" t="s">
        <v>21</v>
      </c>
      <c r="F52" s="2">
        <v>16</v>
      </c>
      <c r="G52" s="4">
        <v>9500</v>
      </c>
      <c r="H52" s="4">
        <f t="shared" si="1"/>
        <v>152000</v>
      </c>
    </row>
    <row r="53" spans="1:8">
      <c r="A53" s="2" t="s">
        <v>73</v>
      </c>
      <c r="B53" s="3">
        <v>45781</v>
      </c>
      <c r="C53" s="2" t="s">
        <v>13</v>
      </c>
      <c r="D53" s="2" t="s">
        <v>28</v>
      </c>
      <c r="E53" s="2" t="s">
        <v>17</v>
      </c>
      <c r="F53" s="2">
        <v>6</v>
      </c>
      <c r="G53" s="4">
        <v>700</v>
      </c>
      <c r="H53" s="4">
        <f t="shared" si="1"/>
        <v>4200</v>
      </c>
    </row>
    <row r="54" spans="1:8">
      <c r="A54" s="2" t="s">
        <v>74</v>
      </c>
      <c r="B54" s="3">
        <v>45755</v>
      </c>
      <c r="C54" s="2" t="s">
        <v>9</v>
      </c>
      <c r="D54" s="2" t="s">
        <v>28</v>
      </c>
      <c r="E54" s="2" t="s">
        <v>11</v>
      </c>
      <c r="F54" s="2">
        <v>15</v>
      </c>
      <c r="G54" s="4">
        <v>700</v>
      </c>
      <c r="H54" s="4">
        <f t="shared" si="1"/>
        <v>10500</v>
      </c>
    </row>
    <row r="55" spans="1:8">
      <c r="A55" s="2" t="s">
        <v>75</v>
      </c>
      <c r="B55" s="3">
        <v>45731</v>
      </c>
      <c r="C55" s="2" t="s">
        <v>16</v>
      </c>
      <c r="D55" s="2" t="s">
        <v>19</v>
      </c>
      <c r="E55" s="2" t="s">
        <v>21</v>
      </c>
      <c r="F55" s="2">
        <v>5</v>
      </c>
      <c r="G55" s="4">
        <v>2200</v>
      </c>
      <c r="H55" s="4">
        <f t="shared" si="1"/>
        <v>11000</v>
      </c>
    </row>
    <row r="56" spans="1:8">
      <c r="A56" s="2" t="s">
        <v>76</v>
      </c>
      <c r="B56" s="3">
        <v>45706</v>
      </c>
      <c r="C56" s="2" t="s">
        <v>23</v>
      </c>
      <c r="D56" s="2" t="s">
        <v>26</v>
      </c>
      <c r="E56" s="2" t="s">
        <v>17</v>
      </c>
      <c r="F56" s="2">
        <v>19</v>
      </c>
      <c r="G56" s="4">
        <v>9500</v>
      </c>
      <c r="H56" s="4">
        <f t="shared" si="1"/>
        <v>180500</v>
      </c>
    </row>
    <row r="57" spans="1:8">
      <c r="A57" s="2" t="s">
        <v>77</v>
      </c>
      <c r="B57" s="3">
        <v>45846</v>
      </c>
      <c r="C57" s="2" t="s">
        <v>9</v>
      </c>
      <c r="D57" s="2" t="s">
        <v>33</v>
      </c>
      <c r="E57" s="2" t="s">
        <v>17</v>
      </c>
      <c r="F57" s="2">
        <v>2</v>
      </c>
      <c r="G57" s="4">
        <v>1200</v>
      </c>
      <c r="H57" s="4">
        <f t="shared" si="1"/>
        <v>2400</v>
      </c>
    </row>
    <row r="58" spans="1:8">
      <c r="A58" s="2" t="s">
        <v>78</v>
      </c>
      <c r="B58" s="3">
        <v>45807</v>
      </c>
      <c r="C58" s="2" t="s">
        <v>16</v>
      </c>
      <c r="D58" s="2" t="s">
        <v>19</v>
      </c>
      <c r="E58" s="2" t="s">
        <v>14</v>
      </c>
      <c r="F58" s="2">
        <v>6</v>
      </c>
      <c r="G58" s="4">
        <v>2200</v>
      </c>
      <c r="H58" s="4">
        <f t="shared" si="1"/>
        <v>13200</v>
      </c>
    </row>
    <row r="59" spans="1:8">
      <c r="A59" s="2" t="s">
        <v>79</v>
      </c>
      <c r="B59" s="3">
        <v>45672</v>
      </c>
      <c r="C59" s="2" t="s">
        <v>9</v>
      </c>
      <c r="D59" s="2" t="s">
        <v>26</v>
      </c>
      <c r="E59" s="2" t="s">
        <v>17</v>
      </c>
      <c r="F59" s="2">
        <v>20</v>
      </c>
      <c r="G59" s="4">
        <v>9500</v>
      </c>
      <c r="H59" s="4">
        <f t="shared" si="1"/>
        <v>190000</v>
      </c>
    </row>
    <row r="60" spans="1:8">
      <c r="A60" s="2" t="s">
        <v>80</v>
      </c>
      <c r="B60" s="3">
        <v>45675</v>
      </c>
      <c r="C60" s="2" t="s">
        <v>13</v>
      </c>
      <c r="D60" s="2" t="s">
        <v>28</v>
      </c>
      <c r="E60" s="2" t="s">
        <v>17</v>
      </c>
      <c r="F60" s="2">
        <v>19</v>
      </c>
      <c r="G60" s="4">
        <v>700</v>
      </c>
      <c r="H60" s="4">
        <f t="shared" si="1"/>
        <v>13300</v>
      </c>
    </row>
    <row r="61" spans="1:8">
      <c r="A61" s="2" t="s">
        <v>81</v>
      </c>
      <c r="B61" s="3">
        <v>45721</v>
      </c>
      <c r="C61" s="2" t="s">
        <v>9</v>
      </c>
      <c r="D61" s="2" t="s">
        <v>19</v>
      </c>
      <c r="E61" s="2" t="s">
        <v>17</v>
      </c>
      <c r="F61" s="2">
        <v>14</v>
      </c>
      <c r="G61" s="4">
        <v>2200</v>
      </c>
      <c r="H61" s="4">
        <f t="shared" si="1"/>
        <v>30800</v>
      </c>
    </row>
    <row r="62" spans="1:8">
      <c r="A62" s="2" t="s">
        <v>82</v>
      </c>
      <c r="B62" s="3">
        <v>45826</v>
      </c>
      <c r="C62" s="2" t="s">
        <v>23</v>
      </c>
      <c r="D62" s="2" t="s">
        <v>33</v>
      </c>
      <c r="E62" s="2" t="s">
        <v>24</v>
      </c>
      <c r="F62" s="2">
        <v>11</v>
      </c>
      <c r="G62" s="4">
        <v>1200</v>
      </c>
      <c r="H62" s="4">
        <f t="shared" si="1"/>
        <v>13200</v>
      </c>
    </row>
    <row r="63" spans="1:8">
      <c r="A63" s="2" t="s">
        <v>83</v>
      </c>
      <c r="B63" s="3">
        <v>45719</v>
      </c>
      <c r="C63" s="2" t="s">
        <v>23</v>
      </c>
      <c r="D63" s="2" t="s">
        <v>28</v>
      </c>
      <c r="E63" s="2" t="s">
        <v>24</v>
      </c>
      <c r="F63" s="2">
        <v>10</v>
      </c>
      <c r="G63" s="4">
        <v>700</v>
      </c>
      <c r="H63" s="4">
        <f t="shared" si="1"/>
        <v>7000</v>
      </c>
    </row>
    <row r="64" spans="1:8">
      <c r="A64" s="2" t="s">
        <v>84</v>
      </c>
      <c r="B64" s="3">
        <v>45775</v>
      </c>
      <c r="C64" s="2" t="s">
        <v>23</v>
      </c>
      <c r="D64" s="2" t="s">
        <v>10</v>
      </c>
      <c r="E64" s="2" t="s">
        <v>17</v>
      </c>
      <c r="F64" s="2">
        <v>15</v>
      </c>
      <c r="G64" s="4">
        <v>55000</v>
      </c>
      <c r="H64" s="4">
        <f t="shared" si="1"/>
        <v>825000</v>
      </c>
    </row>
    <row r="65" spans="1:8">
      <c r="A65" s="2" t="s">
        <v>85</v>
      </c>
      <c r="B65" s="3">
        <v>45817</v>
      </c>
      <c r="C65" s="2" t="s">
        <v>9</v>
      </c>
      <c r="D65" s="2" t="s">
        <v>10</v>
      </c>
      <c r="E65" s="2" t="s">
        <v>14</v>
      </c>
      <c r="F65" s="2">
        <v>7</v>
      </c>
      <c r="G65" s="4">
        <v>55000</v>
      </c>
      <c r="H65" s="4">
        <f t="shared" si="1"/>
        <v>385000</v>
      </c>
    </row>
    <row r="66" spans="1:8">
      <c r="A66" s="2" t="s">
        <v>86</v>
      </c>
      <c r="B66" s="3">
        <v>45787</v>
      </c>
      <c r="C66" s="2" t="s">
        <v>23</v>
      </c>
      <c r="D66" s="2" t="s">
        <v>26</v>
      </c>
      <c r="E66" s="2" t="s">
        <v>11</v>
      </c>
      <c r="F66" s="2">
        <v>3</v>
      </c>
      <c r="G66" s="4">
        <v>9500</v>
      </c>
      <c r="H66" s="4">
        <f t="shared" ref="H66:H97" si="2">F66*G66</f>
        <v>28500</v>
      </c>
    </row>
    <row r="67" spans="1:8">
      <c r="A67" s="2" t="s">
        <v>87</v>
      </c>
      <c r="B67" s="3">
        <v>45720</v>
      </c>
      <c r="C67" s="2" t="s">
        <v>23</v>
      </c>
      <c r="D67" s="2" t="s">
        <v>33</v>
      </c>
      <c r="E67" s="2" t="s">
        <v>24</v>
      </c>
      <c r="F67" s="2">
        <v>15</v>
      </c>
      <c r="G67" s="4">
        <v>1200</v>
      </c>
      <c r="H67" s="4">
        <f t="shared" si="2"/>
        <v>18000</v>
      </c>
    </row>
    <row r="68" spans="1:8">
      <c r="A68" s="2" t="s">
        <v>88</v>
      </c>
      <c r="B68" s="3">
        <v>45797</v>
      </c>
      <c r="C68" s="2" t="s">
        <v>23</v>
      </c>
      <c r="D68" s="2" t="s">
        <v>19</v>
      </c>
      <c r="E68" s="2" t="s">
        <v>14</v>
      </c>
      <c r="F68" s="2">
        <v>1</v>
      </c>
      <c r="G68" s="4">
        <v>2200</v>
      </c>
      <c r="H68" s="4">
        <f t="shared" si="2"/>
        <v>2200</v>
      </c>
    </row>
    <row r="69" spans="1:8">
      <c r="A69" s="2" t="s">
        <v>89</v>
      </c>
      <c r="B69" s="3">
        <v>45828</v>
      </c>
      <c r="C69" s="2" t="s">
        <v>23</v>
      </c>
      <c r="D69" s="2" t="s">
        <v>10</v>
      </c>
      <c r="E69" s="2" t="s">
        <v>24</v>
      </c>
      <c r="F69" s="2">
        <v>9</v>
      </c>
      <c r="G69" s="4">
        <v>55000</v>
      </c>
      <c r="H69" s="4">
        <f t="shared" si="2"/>
        <v>495000</v>
      </c>
    </row>
    <row r="70" spans="1:8">
      <c r="A70" s="2" t="s">
        <v>90</v>
      </c>
      <c r="B70" s="3">
        <v>45687</v>
      </c>
      <c r="C70" s="2" t="s">
        <v>9</v>
      </c>
      <c r="D70" s="2" t="s">
        <v>19</v>
      </c>
      <c r="E70" s="2" t="s">
        <v>24</v>
      </c>
      <c r="F70" s="2">
        <v>9</v>
      </c>
      <c r="G70" s="4">
        <v>2200</v>
      </c>
      <c r="H70" s="4">
        <f t="shared" si="2"/>
        <v>19800</v>
      </c>
    </row>
    <row r="71" spans="1:8">
      <c r="A71" s="2" t="s">
        <v>91</v>
      </c>
      <c r="B71" s="3">
        <v>45730</v>
      </c>
      <c r="C71" s="2" t="s">
        <v>13</v>
      </c>
      <c r="D71" s="2" t="s">
        <v>33</v>
      </c>
      <c r="E71" s="2" t="s">
        <v>24</v>
      </c>
      <c r="F71" s="2">
        <v>9</v>
      </c>
      <c r="G71" s="4">
        <v>1200</v>
      </c>
      <c r="H71" s="4">
        <f t="shared" si="2"/>
        <v>10800</v>
      </c>
    </row>
    <row r="72" spans="1:8">
      <c r="A72" s="2" t="s">
        <v>92</v>
      </c>
      <c r="B72" s="3">
        <v>45787</v>
      </c>
      <c r="C72" s="2" t="s">
        <v>16</v>
      </c>
      <c r="D72" s="2" t="s">
        <v>33</v>
      </c>
      <c r="E72" s="2" t="s">
        <v>17</v>
      </c>
      <c r="F72" s="2">
        <v>3</v>
      </c>
      <c r="G72" s="4">
        <v>1200</v>
      </c>
      <c r="H72" s="4">
        <f t="shared" si="2"/>
        <v>3600</v>
      </c>
    </row>
    <row r="73" spans="1:8">
      <c r="A73" s="2" t="s">
        <v>93</v>
      </c>
      <c r="B73" s="3">
        <v>45820</v>
      </c>
      <c r="C73" s="2" t="s">
        <v>16</v>
      </c>
      <c r="D73" s="2" t="s">
        <v>33</v>
      </c>
      <c r="E73" s="2" t="s">
        <v>17</v>
      </c>
      <c r="F73" s="2">
        <v>1</v>
      </c>
      <c r="G73" s="4">
        <v>1200</v>
      </c>
      <c r="H73" s="4">
        <f t="shared" si="2"/>
        <v>1200</v>
      </c>
    </row>
    <row r="74" spans="1:8">
      <c r="A74" s="2" t="s">
        <v>94</v>
      </c>
      <c r="B74" s="3">
        <v>45743</v>
      </c>
      <c r="C74" s="2" t="s">
        <v>13</v>
      </c>
      <c r="D74" s="2" t="s">
        <v>33</v>
      </c>
      <c r="E74" s="2" t="s">
        <v>24</v>
      </c>
      <c r="F74" s="2">
        <v>15</v>
      </c>
      <c r="G74" s="4">
        <v>1200</v>
      </c>
      <c r="H74" s="4">
        <f t="shared" si="2"/>
        <v>18000</v>
      </c>
    </row>
    <row r="75" spans="1:8">
      <c r="A75" s="2" t="s">
        <v>95</v>
      </c>
      <c r="B75" s="3">
        <v>45799</v>
      </c>
      <c r="C75" s="2" t="s">
        <v>16</v>
      </c>
      <c r="D75" s="2" t="s">
        <v>19</v>
      </c>
      <c r="E75" s="2" t="s">
        <v>17</v>
      </c>
      <c r="F75" s="2">
        <v>4</v>
      </c>
      <c r="G75" s="4">
        <v>2200</v>
      </c>
      <c r="H75" s="4">
        <f t="shared" si="2"/>
        <v>8800</v>
      </c>
    </row>
    <row r="76" spans="1:8">
      <c r="A76" s="2" t="s">
        <v>96</v>
      </c>
      <c r="B76" s="3">
        <v>45677</v>
      </c>
      <c r="C76" s="2" t="s">
        <v>13</v>
      </c>
      <c r="D76" s="2" t="s">
        <v>19</v>
      </c>
      <c r="E76" s="2" t="s">
        <v>17</v>
      </c>
      <c r="F76" s="2">
        <v>12</v>
      </c>
      <c r="G76" s="4">
        <v>2200</v>
      </c>
      <c r="H76" s="4">
        <f t="shared" si="2"/>
        <v>26400</v>
      </c>
    </row>
    <row r="77" spans="1:8">
      <c r="A77" s="2" t="s">
        <v>97</v>
      </c>
      <c r="B77" s="3">
        <v>45807</v>
      </c>
      <c r="C77" s="2" t="s">
        <v>13</v>
      </c>
      <c r="D77" s="2" t="s">
        <v>28</v>
      </c>
      <c r="E77" s="2" t="s">
        <v>24</v>
      </c>
      <c r="F77" s="2">
        <v>2</v>
      </c>
      <c r="G77" s="4">
        <v>700</v>
      </c>
      <c r="H77" s="4">
        <f t="shared" si="2"/>
        <v>1400</v>
      </c>
    </row>
    <row r="78" spans="1:8">
      <c r="A78" s="2" t="s">
        <v>98</v>
      </c>
      <c r="B78" s="3">
        <v>45736</v>
      </c>
      <c r="C78" s="2" t="s">
        <v>23</v>
      </c>
      <c r="D78" s="2" t="s">
        <v>10</v>
      </c>
      <c r="E78" s="2" t="s">
        <v>11</v>
      </c>
      <c r="F78" s="2">
        <v>7</v>
      </c>
      <c r="G78" s="4">
        <v>55000</v>
      </c>
      <c r="H78" s="4">
        <f t="shared" si="2"/>
        <v>385000</v>
      </c>
    </row>
    <row r="79" spans="1:8">
      <c r="A79" s="2" t="s">
        <v>99</v>
      </c>
      <c r="B79" s="3">
        <v>45832</v>
      </c>
      <c r="C79" s="2" t="s">
        <v>13</v>
      </c>
      <c r="D79" s="2" t="s">
        <v>10</v>
      </c>
      <c r="E79" s="2" t="s">
        <v>11</v>
      </c>
      <c r="F79" s="2">
        <v>18</v>
      </c>
      <c r="G79" s="4">
        <v>55000</v>
      </c>
      <c r="H79" s="4">
        <f t="shared" si="2"/>
        <v>990000</v>
      </c>
    </row>
    <row r="80" spans="1:8">
      <c r="A80" s="2" t="s">
        <v>100</v>
      </c>
      <c r="B80" s="3">
        <v>45762</v>
      </c>
      <c r="C80" s="2" t="s">
        <v>13</v>
      </c>
      <c r="D80" s="2" t="s">
        <v>26</v>
      </c>
      <c r="E80" s="2" t="s">
        <v>24</v>
      </c>
      <c r="F80" s="2">
        <v>6</v>
      </c>
      <c r="G80" s="4">
        <v>9500</v>
      </c>
      <c r="H80" s="4">
        <f t="shared" si="2"/>
        <v>57000</v>
      </c>
    </row>
    <row r="81" spans="1:8">
      <c r="A81" s="2" t="s">
        <v>101</v>
      </c>
      <c r="B81" s="3">
        <v>45763</v>
      </c>
      <c r="C81" s="2" t="s">
        <v>9</v>
      </c>
      <c r="D81" s="2" t="s">
        <v>26</v>
      </c>
      <c r="E81" s="2" t="s">
        <v>11</v>
      </c>
      <c r="F81" s="2">
        <v>14</v>
      </c>
      <c r="G81" s="4">
        <v>9500</v>
      </c>
      <c r="H81" s="4">
        <f t="shared" si="2"/>
        <v>133000</v>
      </c>
    </row>
    <row r="82" spans="1:8">
      <c r="A82" s="2" t="s">
        <v>102</v>
      </c>
      <c r="B82" s="3">
        <v>45863</v>
      </c>
      <c r="C82" s="2" t="s">
        <v>13</v>
      </c>
      <c r="D82" s="2" t="s">
        <v>33</v>
      </c>
      <c r="E82" s="2" t="s">
        <v>24</v>
      </c>
      <c r="F82" s="2">
        <v>4</v>
      </c>
      <c r="G82" s="4">
        <v>1200</v>
      </c>
      <c r="H82" s="4">
        <f t="shared" si="2"/>
        <v>4800</v>
      </c>
    </row>
    <row r="83" spans="1:8">
      <c r="A83" s="2" t="s">
        <v>103</v>
      </c>
      <c r="B83" s="3">
        <v>45755</v>
      </c>
      <c r="C83" s="2" t="s">
        <v>9</v>
      </c>
      <c r="D83" s="2" t="s">
        <v>28</v>
      </c>
      <c r="E83" s="2" t="s">
        <v>24</v>
      </c>
      <c r="F83" s="2">
        <v>7</v>
      </c>
      <c r="G83" s="4">
        <v>700</v>
      </c>
      <c r="H83" s="4">
        <f t="shared" si="2"/>
        <v>4900</v>
      </c>
    </row>
    <row r="84" spans="1:8">
      <c r="A84" s="2" t="s">
        <v>104</v>
      </c>
      <c r="B84" s="3">
        <v>45867</v>
      </c>
      <c r="C84" s="2" t="s">
        <v>16</v>
      </c>
      <c r="D84" s="2" t="s">
        <v>33</v>
      </c>
      <c r="E84" s="2" t="s">
        <v>11</v>
      </c>
      <c r="F84" s="2">
        <v>8</v>
      </c>
      <c r="G84" s="4">
        <v>1200</v>
      </c>
      <c r="H84" s="4">
        <f t="shared" si="2"/>
        <v>9600</v>
      </c>
    </row>
    <row r="85" spans="1:8">
      <c r="A85" s="2" t="s">
        <v>105</v>
      </c>
      <c r="B85" s="3">
        <v>45715</v>
      </c>
      <c r="C85" s="2" t="s">
        <v>9</v>
      </c>
      <c r="D85" s="2" t="s">
        <v>26</v>
      </c>
      <c r="E85" s="2" t="s">
        <v>21</v>
      </c>
      <c r="F85" s="2">
        <v>11</v>
      </c>
      <c r="G85" s="4">
        <v>9500</v>
      </c>
      <c r="H85" s="4">
        <f t="shared" si="2"/>
        <v>104500</v>
      </c>
    </row>
    <row r="86" spans="1:8">
      <c r="A86" s="2" t="s">
        <v>106</v>
      </c>
      <c r="B86" s="3">
        <v>45729</v>
      </c>
      <c r="C86" s="2" t="s">
        <v>9</v>
      </c>
      <c r="D86" s="2" t="s">
        <v>33</v>
      </c>
      <c r="E86" s="2" t="s">
        <v>11</v>
      </c>
      <c r="F86" s="2">
        <v>17</v>
      </c>
      <c r="G86" s="4">
        <v>1200</v>
      </c>
      <c r="H86" s="4">
        <f t="shared" si="2"/>
        <v>20400</v>
      </c>
    </row>
    <row r="87" spans="1:8">
      <c r="A87" s="2" t="s">
        <v>107</v>
      </c>
      <c r="B87" s="3">
        <v>45760</v>
      </c>
      <c r="C87" s="2" t="s">
        <v>23</v>
      </c>
      <c r="D87" s="2" t="s">
        <v>10</v>
      </c>
      <c r="E87" s="2" t="s">
        <v>17</v>
      </c>
      <c r="F87" s="2">
        <v>9</v>
      </c>
      <c r="G87" s="4">
        <v>55000</v>
      </c>
      <c r="H87" s="4">
        <f t="shared" si="2"/>
        <v>495000</v>
      </c>
    </row>
    <row r="88" spans="1:8">
      <c r="A88" s="2" t="s">
        <v>108</v>
      </c>
      <c r="B88" s="3">
        <v>45703</v>
      </c>
      <c r="C88" s="2" t="s">
        <v>23</v>
      </c>
      <c r="D88" s="2" t="s">
        <v>10</v>
      </c>
      <c r="E88" s="2" t="s">
        <v>17</v>
      </c>
      <c r="F88" s="2">
        <v>20</v>
      </c>
      <c r="G88" s="4">
        <v>55000</v>
      </c>
      <c r="H88" s="4">
        <f t="shared" si="2"/>
        <v>1100000</v>
      </c>
    </row>
    <row r="89" spans="1:8">
      <c r="A89" s="2" t="s">
        <v>109</v>
      </c>
      <c r="B89" s="3">
        <v>45769</v>
      </c>
      <c r="C89" s="2" t="s">
        <v>23</v>
      </c>
      <c r="D89" s="2" t="s">
        <v>33</v>
      </c>
      <c r="E89" s="2" t="s">
        <v>21</v>
      </c>
      <c r="F89" s="2">
        <v>20</v>
      </c>
      <c r="G89" s="4">
        <v>1200</v>
      </c>
      <c r="H89" s="4">
        <f t="shared" si="2"/>
        <v>24000</v>
      </c>
    </row>
    <row r="90" spans="1:8">
      <c r="A90" s="2" t="s">
        <v>110</v>
      </c>
      <c r="B90" s="3">
        <v>45788</v>
      </c>
      <c r="C90" s="2" t="s">
        <v>9</v>
      </c>
      <c r="D90" s="2" t="s">
        <v>28</v>
      </c>
      <c r="E90" s="2" t="s">
        <v>14</v>
      </c>
      <c r="F90" s="2">
        <v>7</v>
      </c>
      <c r="G90" s="4">
        <v>700</v>
      </c>
      <c r="H90" s="4">
        <f t="shared" si="2"/>
        <v>4900</v>
      </c>
    </row>
    <row r="91" spans="1:8">
      <c r="A91" s="2" t="s">
        <v>111</v>
      </c>
      <c r="B91" s="3">
        <v>45723</v>
      </c>
      <c r="C91" s="2" t="s">
        <v>9</v>
      </c>
      <c r="D91" s="2" t="s">
        <v>28</v>
      </c>
      <c r="E91" s="2" t="s">
        <v>17</v>
      </c>
      <c r="F91" s="2">
        <v>17</v>
      </c>
      <c r="G91" s="4">
        <v>700</v>
      </c>
      <c r="H91" s="4">
        <f t="shared" si="2"/>
        <v>11900</v>
      </c>
    </row>
    <row r="92" spans="1:8">
      <c r="A92" s="2" t="s">
        <v>112</v>
      </c>
      <c r="B92" s="3">
        <v>45864</v>
      </c>
      <c r="C92" s="2" t="s">
        <v>13</v>
      </c>
      <c r="D92" s="2" t="s">
        <v>33</v>
      </c>
      <c r="E92" s="2" t="s">
        <v>21</v>
      </c>
      <c r="F92" s="2">
        <v>3</v>
      </c>
      <c r="G92" s="4">
        <v>1200</v>
      </c>
      <c r="H92" s="4">
        <f t="shared" si="2"/>
        <v>3600</v>
      </c>
    </row>
    <row r="93" spans="1:8">
      <c r="A93" s="2" t="s">
        <v>113</v>
      </c>
      <c r="B93" s="3">
        <v>45828</v>
      </c>
      <c r="C93" s="2" t="s">
        <v>23</v>
      </c>
      <c r="D93" s="2" t="s">
        <v>19</v>
      </c>
      <c r="E93" s="2" t="s">
        <v>11</v>
      </c>
      <c r="F93" s="2">
        <v>4</v>
      </c>
      <c r="G93" s="4">
        <v>2200</v>
      </c>
      <c r="H93" s="4">
        <f t="shared" si="2"/>
        <v>8800</v>
      </c>
    </row>
    <row r="94" spans="1:8">
      <c r="A94" s="2" t="s">
        <v>114</v>
      </c>
      <c r="B94" s="3">
        <v>45842</v>
      </c>
      <c r="C94" s="2" t="s">
        <v>23</v>
      </c>
      <c r="D94" s="2" t="s">
        <v>19</v>
      </c>
      <c r="E94" s="2" t="s">
        <v>11</v>
      </c>
      <c r="F94" s="2">
        <v>14</v>
      </c>
      <c r="G94" s="4">
        <v>2200</v>
      </c>
      <c r="H94" s="4">
        <f t="shared" si="2"/>
        <v>30800</v>
      </c>
    </row>
    <row r="95" spans="1:8">
      <c r="A95" s="2" t="s">
        <v>115</v>
      </c>
      <c r="B95" s="3">
        <v>45741</v>
      </c>
      <c r="C95" s="2" t="s">
        <v>16</v>
      </c>
      <c r="D95" s="2" t="s">
        <v>33</v>
      </c>
      <c r="E95" s="2" t="s">
        <v>14</v>
      </c>
      <c r="F95" s="2">
        <v>5</v>
      </c>
      <c r="G95" s="4">
        <v>1200</v>
      </c>
      <c r="H95" s="4">
        <f t="shared" si="2"/>
        <v>6000</v>
      </c>
    </row>
    <row r="96" spans="1:8">
      <c r="A96" s="2" t="s">
        <v>116</v>
      </c>
      <c r="B96" s="3">
        <v>45707</v>
      </c>
      <c r="C96" s="2" t="s">
        <v>16</v>
      </c>
      <c r="D96" s="2" t="s">
        <v>28</v>
      </c>
      <c r="E96" s="2" t="s">
        <v>24</v>
      </c>
      <c r="F96" s="2">
        <v>20</v>
      </c>
      <c r="G96" s="4">
        <v>700</v>
      </c>
      <c r="H96" s="4">
        <f t="shared" si="2"/>
        <v>14000</v>
      </c>
    </row>
    <row r="97" spans="1:8">
      <c r="A97" s="2" t="s">
        <v>117</v>
      </c>
      <c r="B97" s="3">
        <v>45803</v>
      </c>
      <c r="C97" s="2" t="s">
        <v>23</v>
      </c>
      <c r="D97" s="2" t="s">
        <v>28</v>
      </c>
      <c r="E97" s="2" t="s">
        <v>14</v>
      </c>
      <c r="F97" s="2">
        <v>1</v>
      </c>
      <c r="G97" s="4">
        <v>700</v>
      </c>
      <c r="H97" s="4">
        <f t="shared" si="2"/>
        <v>700</v>
      </c>
    </row>
    <row r="98" spans="1:8">
      <c r="A98" s="2" t="s">
        <v>118</v>
      </c>
      <c r="B98" s="3">
        <v>45735</v>
      </c>
      <c r="C98" s="2" t="s">
        <v>23</v>
      </c>
      <c r="D98" s="2" t="s">
        <v>26</v>
      </c>
      <c r="E98" s="2" t="s">
        <v>21</v>
      </c>
      <c r="F98" s="2">
        <v>19</v>
      </c>
      <c r="G98" s="4">
        <v>9500</v>
      </c>
      <c r="H98" s="4">
        <f t="shared" ref="H98:H129" si="3">F98*G98</f>
        <v>180500</v>
      </c>
    </row>
    <row r="99" spans="1:8">
      <c r="A99" s="2" t="s">
        <v>119</v>
      </c>
      <c r="B99" s="3">
        <v>45813</v>
      </c>
      <c r="C99" s="2" t="s">
        <v>23</v>
      </c>
      <c r="D99" s="2" t="s">
        <v>28</v>
      </c>
      <c r="E99" s="2" t="s">
        <v>21</v>
      </c>
      <c r="F99" s="2">
        <v>15</v>
      </c>
      <c r="G99" s="4">
        <v>700</v>
      </c>
      <c r="H99" s="4">
        <f t="shared" si="3"/>
        <v>10500</v>
      </c>
    </row>
    <row r="100" spans="1:8">
      <c r="A100" s="2" t="s">
        <v>120</v>
      </c>
      <c r="B100" s="3">
        <v>45830</v>
      </c>
      <c r="C100" s="2" t="s">
        <v>13</v>
      </c>
      <c r="D100" s="2" t="s">
        <v>19</v>
      </c>
      <c r="E100" s="2" t="s">
        <v>21</v>
      </c>
      <c r="F100" s="2">
        <v>6</v>
      </c>
      <c r="G100" s="4">
        <v>2200</v>
      </c>
      <c r="H100" s="4">
        <f t="shared" si="3"/>
        <v>13200</v>
      </c>
    </row>
    <row r="101" spans="1:8">
      <c r="A101" s="2" t="s">
        <v>121</v>
      </c>
      <c r="B101" s="3">
        <v>45826</v>
      </c>
      <c r="C101" s="2" t="s">
        <v>9</v>
      </c>
      <c r="D101" s="2" t="s">
        <v>33</v>
      </c>
      <c r="E101" s="2" t="s">
        <v>14</v>
      </c>
      <c r="F101" s="2">
        <v>20</v>
      </c>
      <c r="G101" s="4">
        <v>1200</v>
      </c>
      <c r="H101" s="4">
        <f t="shared" si="3"/>
        <v>24000</v>
      </c>
    </row>
    <row r="102" spans="1:8">
      <c r="A102" s="2" t="s">
        <v>122</v>
      </c>
      <c r="B102" s="3">
        <v>45743</v>
      </c>
      <c r="C102" s="2" t="s">
        <v>9</v>
      </c>
      <c r="D102" s="2" t="s">
        <v>26</v>
      </c>
      <c r="E102" s="2" t="s">
        <v>11</v>
      </c>
      <c r="F102" s="2">
        <v>8</v>
      </c>
      <c r="G102" s="4">
        <v>9500</v>
      </c>
      <c r="H102" s="4">
        <f t="shared" si="3"/>
        <v>76000</v>
      </c>
    </row>
    <row r="103" spans="1:8">
      <c r="A103" s="2" t="s">
        <v>123</v>
      </c>
      <c r="B103" s="3">
        <v>45864</v>
      </c>
      <c r="C103" s="2" t="s">
        <v>13</v>
      </c>
      <c r="D103" s="2" t="s">
        <v>26</v>
      </c>
      <c r="E103" s="2" t="s">
        <v>17</v>
      </c>
      <c r="F103" s="2">
        <v>2</v>
      </c>
      <c r="G103" s="4">
        <v>9500</v>
      </c>
      <c r="H103" s="4">
        <f t="shared" si="3"/>
        <v>19000</v>
      </c>
    </row>
    <row r="104" spans="1:8">
      <c r="A104" s="2" t="s">
        <v>124</v>
      </c>
      <c r="B104" s="3">
        <v>45720</v>
      </c>
      <c r="C104" s="2" t="s">
        <v>16</v>
      </c>
      <c r="D104" s="2" t="s">
        <v>19</v>
      </c>
      <c r="E104" s="2" t="s">
        <v>17</v>
      </c>
      <c r="F104" s="2">
        <v>15</v>
      </c>
      <c r="G104" s="4">
        <v>2200</v>
      </c>
      <c r="H104" s="4">
        <f t="shared" si="3"/>
        <v>33000</v>
      </c>
    </row>
    <row r="105" spans="1:8">
      <c r="A105" s="2" t="s">
        <v>125</v>
      </c>
      <c r="B105" s="3">
        <v>45764</v>
      </c>
      <c r="C105" s="2" t="s">
        <v>13</v>
      </c>
      <c r="D105" s="2" t="s">
        <v>28</v>
      </c>
      <c r="E105" s="2" t="s">
        <v>21</v>
      </c>
      <c r="F105" s="2">
        <v>13</v>
      </c>
      <c r="G105" s="4">
        <v>700</v>
      </c>
      <c r="H105" s="4">
        <f t="shared" si="3"/>
        <v>9100</v>
      </c>
    </row>
    <row r="106" spans="1:8">
      <c r="A106" s="2" t="s">
        <v>126</v>
      </c>
      <c r="B106" s="3">
        <v>45720</v>
      </c>
      <c r="C106" s="2" t="s">
        <v>13</v>
      </c>
      <c r="D106" s="2" t="s">
        <v>10</v>
      </c>
      <c r="E106" s="2" t="s">
        <v>17</v>
      </c>
      <c r="F106" s="2">
        <v>14</v>
      </c>
      <c r="G106" s="4">
        <v>55000</v>
      </c>
      <c r="H106" s="4">
        <f t="shared" si="3"/>
        <v>770000</v>
      </c>
    </row>
    <row r="107" spans="1:8">
      <c r="A107" s="2" t="s">
        <v>127</v>
      </c>
      <c r="B107" s="3">
        <v>45714</v>
      </c>
      <c r="C107" s="2" t="s">
        <v>13</v>
      </c>
      <c r="D107" s="2" t="s">
        <v>19</v>
      </c>
      <c r="E107" s="2" t="s">
        <v>21</v>
      </c>
      <c r="F107" s="2">
        <v>2</v>
      </c>
      <c r="G107" s="4">
        <v>2200</v>
      </c>
      <c r="H107" s="4">
        <f t="shared" si="3"/>
        <v>4400</v>
      </c>
    </row>
    <row r="108" spans="1:8">
      <c r="A108" s="2" t="s">
        <v>128</v>
      </c>
      <c r="B108" s="3">
        <v>45800</v>
      </c>
      <c r="C108" s="2" t="s">
        <v>13</v>
      </c>
      <c r="D108" s="2" t="s">
        <v>10</v>
      </c>
      <c r="E108" s="2" t="s">
        <v>21</v>
      </c>
      <c r="F108" s="2">
        <v>5</v>
      </c>
      <c r="G108" s="4">
        <v>55000</v>
      </c>
      <c r="H108" s="4">
        <f t="shared" si="3"/>
        <v>275000</v>
      </c>
    </row>
    <row r="109" spans="1:8">
      <c r="A109" s="2" t="s">
        <v>129</v>
      </c>
      <c r="B109" s="3">
        <v>45863</v>
      </c>
      <c r="C109" s="2" t="s">
        <v>16</v>
      </c>
      <c r="D109" s="2" t="s">
        <v>19</v>
      </c>
      <c r="E109" s="2" t="s">
        <v>14</v>
      </c>
      <c r="F109" s="2">
        <v>20</v>
      </c>
      <c r="G109" s="4">
        <v>2200</v>
      </c>
      <c r="H109" s="4">
        <f t="shared" si="3"/>
        <v>44000</v>
      </c>
    </row>
    <row r="110" spans="1:8">
      <c r="A110" s="2" t="s">
        <v>130</v>
      </c>
      <c r="B110" s="3">
        <v>45739</v>
      </c>
      <c r="C110" s="2" t="s">
        <v>16</v>
      </c>
      <c r="D110" s="2" t="s">
        <v>19</v>
      </c>
      <c r="E110" s="2" t="s">
        <v>14</v>
      </c>
      <c r="F110" s="2">
        <v>14</v>
      </c>
      <c r="G110" s="4">
        <v>2200</v>
      </c>
      <c r="H110" s="4">
        <f t="shared" si="3"/>
        <v>30800</v>
      </c>
    </row>
    <row r="111" spans="1:8">
      <c r="A111" s="2" t="s">
        <v>131</v>
      </c>
      <c r="B111" s="3">
        <v>45798</v>
      </c>
      <c r="C111" s="2" t="s">
        <v>16</v>
      </c>
      <c r="D111" s="2" t="s">
        <v>26</v>
      </c>
      <c r="E111" s="2" t="s">
        <v>21</v>
      </c>
      <c r="F111" s="2">
        <v>15</v>
      </c>
      <c r="G111" s="4">
        <v>9500</v>
      </c>
      <c r="H111" s="4">
        <f t="shared" si="3"/>
        <v>142500</v>
      </c>
    </row>
    <row r="112" spans="1:8">
      <c r="A112" s="2" t="s">
        <v>132</v>
      </c>
      <c r="B112" s="3">
        <v>45724</v>
      </c>
      <c r="C112" s="2" t="s">
        <v>13</v>
      </c>
      <c r="D112" s="2" t="s">
        <v>33</v>
      </c>
      <c r="E112" s="2" t="s">
        <v>14</v>
      </c>
      <c r="F112" s="2">
        <v>16</v>
      </c>
      <c r="G112" s="4">
        <v>1200</v>
      </c>
      <c r="H112" s="4">
        <f t="shared" si="3"/>
        <v>19200</v>
      </c>
    </row>
    <row r="113" spans="1:8">
      <c r="A113" s="2" t="s">
        <v>133</v>
      </c>
      <c r="B113" s="3">
        <v>45818</v>
      </c>
      <c r="C113" s="2" t="s">
        <v>13</v>
      </c>
      <c r="D113" s="2" t="s">
        <v>33</v>
      </c>
      <c r="E113" s="2" t="s">
        <v>21</v>
      </c>
      <c r="F113" s="2">
        <v>3</v>
      </c>
      <c r="G113" s="4">
        <v>1200</v>
      </c>
      <c r="H113" s="4">
        <f t="shared" si="3"/>
        <v>3600</v>
      </c>
    </row>
    <row r="114" spans="1:8">
      <c r="A114" s="2" t="s">
        <v>134</v>
      </c>
      <c r="B114" s="3">
        <v>45840</v>
      </c>
      <c r="C114" s="2" t="s">
        <v>23</v>
      </c>
      <c r="D114" s="2" t="s">
        <v>26</v>
      </c>
      <c r="E114" s="2" t="s">
        <v>11</v>
      </c>
      <c r="F114" s="2">
        <v>11</v>
      </c>
      <c r="G114" s="4">
        <v>9500</v>
      </c>
      <c r="H114" s="4">
        <f t="shared" si="3"/>
        <v>104500</v>
      </c>
    </row>
    <row r="115" spans="1:8">
      <c r="A115" s="2" t="s">
        <v>135</v>
      </c>
      <c r="B115" s="3">
        <v>45739</v>
      </c>
      <c r="C115" s="2" t="s">
        <v>9</v>
      </c>
      <c r="D115" s="2" t="s">
        <v>26</v>
      </c>
      <c r="E115" s="2" t="s">
        <v>24</v>
      </c>
      <c r="F115" s="2">
        <v>8</v>
      </c>
      <c r="G115" s="4">
        <v>9500</v>
      </c>
      <c r="H115" s="4">
        <f t="shared" si="3"/>
        <v>76000</v>
      </c>
    </row>
    <row r="116" spans="1:8">
      <c r="A116" s="2" t="s">
        <v>136</v>
      </c>
      <c r="B116" s="3">
        <v>45756</v>
      </c>
      <c r="C116" s="2" t="s">
        <v>13</v>
      </c>
      <c r="D116" s="2" t="s">
        <v>26</v>
      </c>
      <c r="E116" s="2" t="s">
        <v>17</v>
      </c>
      <c r="F116" s="2">
        <v>14</v>
      </c>
      <c r="G116" s="4">
        <v>9500</v>
      </c>
      <c r="H116" s="4">
        <f t="shared" si="3"/>
        <v>133000</v>
      </c>
    </row>
    <row r="117" spans="1:8">
      <c r="A117" s="2" t="s">
        <v>137</v>
      </c>
      <c r="B117" s="3">
        <v>45762</v>
      </c>
      <c r="C117" s="2" t="s">
        <v>23</v>
      </c>
      <c r="D117" s="2" t="s">
        <v>19</v>
      </c>
      <c r="E117" s="2" t="s">
        <v>21</v>
      </c>
      <c r="F117" s="2">
        <v>14</v>
      </c>
      <c r="G117" s="4">
        <v>2200</v>
      </c>
      <c r="H117" s="4">
        <f t="shared" si="3"/>
        <v>30800</v>
      </c>
    </row>
    <row r="118" spans="1:8">
      <c r="A118" s="2" t="s">
        <v>138</v>
      </c>
      <c r="B118" s="3">
        <v>45673</v>
      </c>
      <c r="C118" s="2" t="s">
        <v>13</v>
      </c>
      <c r="D118" s="2" t="s">
        <v>28</v>
      </c>
      <c r="E118" s="2" t="s">
        <v>21</v>
      </c>
      <c r="F118" s="2">
        <v>19</v>
      </c>
      <c r="G118" s="4">
        <v>700</v>
      </c>
      <c r="H118" s="4">
        <f t="shared" si="3"/>
        <v>13300</v>
      </c>
    </row>
    <row r="119" spans="1:8">
      <c r="A119" s="2" t="s">
        <v>139</v>
      </c>
      <c r="B119" s="3">
        <v>45836</v>
      </c>
      <c r="C119" s="2" t="s">
        <v>9</v>
      </c>
      <c r="D119" s="2" t="s">
        <v>19</v>
      </c>
      <c r="E119" s="2" t="s">
        <v>21</v>
      </c>
      <c r="F119" s="2">
        <v>16</v>
      </c>
      <c r="G119" s="4">
        <v>2200</v>
      </c>
      <c r="H119" s="4">
        <f t="shared" si="3"/>
        <v>35200</v>
      </c>
    </row>
    <row r="120" spans="1:8">
      <c r="A120" s="2" t="s">
        <v>140</v>
      </c>
      <c r="B120" s="3">
        <v>45659</v>
      </c>
      <c r="C120" s="2" t="s">
        <v>23</v>
      </c>
      <c r="D120" s="2" t="s">
        <v>33</v>
      </c>
      <c r="E120" s="2" t="s">
        <v>21</v>
      </c>
      <c r="F120" s="2">
        <v>14</v>
      </c>
      <c r="G120" s="4">
        <v>1200</v>
      </c>
      <c r="H120" s="4">
        <f t="shared" si="3"/>
        <v>16800</v>
      </c>
    </row>
    <row r="121" spans="1:8">
      <c r="A121" s="2" t="s">
        <v>141</v>
      </c>
      <c r="B121" s="3">
        <v>45795</v>
      </c>
      <c r="C121" s="2" t="s">
        <v>13</v>
      </c>
      <c r="D121" s="2" t="s">
        <v>28</v>
      </c>
      <c r="E121" s="2" t="s">
        <v>24</v>
      </c>
      <c r="F121" s="2">
        <v>9</v>
      </c>
      <c r="G121" s="4">
        <v>700</v>
      </c>
      <c r="H121" s="4">
        <f t="shared" si="3"/>
        <v>6300</v>
      </c>
    </row>
    <row r="122" spans="1:8">
      <c r="A122" s="2" t="s">
        <v>142</v>
      </c>
      <c r="B122" s="3">
        <v>45769</v>
      </c>
      <c r="C122" s="2" t="s">
        <v>16</v>
      </c>
      <c r="D122" s="2" t="s">
        <v>10</v>
      </c>
      <c r="E122" s="2" t="s">
        <v>21</v>
      </c>
      <c r="F122" s="2">
        <v>11</v>
      </c>
      <c r="G122" s="4">
        <v>55000</v>
      </c>
      <c r="H122" s="4">
        <f t="shared" si="3"/>
        <v>605000</v>
      </c>
    </row>
    <row r="123" spans="1:8">
      <c r="A123" s="2" t="s">
        <v>143</v>
      </c>
      <c r="B123" s="3">
        <v>45829</v>
      </c>
      <c r="C123" s="2" t="s">
        <v>16</v>
      </c>
      <c r="D123" s="2" t="s">
        <v>26</v>
      </c>
      <c r="E123" s="2" t="s">
        <v>21</v>
      </c>
      <c r="F123" s="2">
        <v>5</v>
      </c>
      <c r="G123" s="4">
        <v>9500</v>
      </c>
      <c r="H123" s="4">
        <f t="shared" si="3"/>
        <v>47500</v>
      </c>
    </row>
    <row r="124" spans="1:8">
      <c r="A124" s="2" t="s">
        <v>144</v>
      </c>
      <c r="B124" s="3">
        <v>45817</v>
      </c>
      <c r="C124" s="2" t="s">
        <v>9</v>
      </c>
      <c r="D124" s="2" t="s">
        <v>28</v>
      </c>
      <c r="E124" s="2" t="s">
        <v>14</v>
      </c>
      <c r="F124" s="2">
        <v>19</v>
      </c>
      <c r="G124" s="4">
        <v>700</v>
      </c>
      <c r="H124" s="4">
        <f t="shared" si="3"/>
        <v>13300</v>
      </c>
    </row>
    <row r="125" spans="1:8">
      <c r="A125" s="2" t="s">
        <v>145</v>
      </c>
      <c r="B125" s="3">
        <v>45827</v>
      </c>
      <c r="C125" s="2" t="s">
        <v>9</v>
      </c>
      <c r="D125" s="2" t="s">
        <v>10</v>
      </c>
      <c r="E125" s="2" t="s">
        <v>21</v>
      </c>
      <c r="F125" s="2">
        <v>5</v>
      </c>
      <c r="G125" s="4">
        <v>55000</v>
      </c>
      <c r="H125" s="4">
        <f t="shared" si="3"/>
        <v>275000</v>
      </c>
    </row>
    <row r="126" spans="1:8">
      <c r="A126" s="2" t="s">
        <v>146</v>
      </c>
      <c r="B126" s="3">
        <v>45776</v>
      </c>
      <c r="C126" s="2" t="s">
        <v>13</v>
      </c>
      <c r="D126" s="2" t="s">
        <v>10</v>
      </c>
      <c r="E126" s="2" t="s">
        <v>11</v>
      </c>
      <c r="F126" s="2">
        <v>13</v>
      </c>
      <c r="G126" s="4">
        <v>55000</v>
      </c>
      <c r="H126" s="4">
        <f t="shared" si="3"/>
        <v>715000</v>
      </c>
    </row>
    <row r="127" spans="1:8">
      <c r="A127" s="2" t="s">
        <v>147</v>
      </c>
      <c r="B127" s="3">
        <v>45741</v>
      </c>
      <c r="C127" s="2" t="s">
        <v>13</v>
      </c>
      <c r="D127" s="2" t="s">
        <v>28</v>
      </c>
      <c r="E127" s="2" t="s">
        <v>11</v>
      </c>
      <c r="F127" s="2">
        <v>11</v>
      </c>
      <c r="G127" s="4">
        <v>700</v>
      </c>
      <c r="H127" s="4">
        <f t="shared" si="3"/>
        <v>7700</v>
      </c>
    </row>
    <row r="128" spans="1:8">
      <c r="A128" s="2" t="s">
        <v>148</v>
      </c>
      <c r="B128" s="3">
        <v>45852</v>
      </c>
      <c r="C128" s="2" t="s">
        <v>16</v>
      </c>
      <c r="D128" s="2" t="s">
        <v>33</v>
      </c>
      <c r="E128" s="2" t="s">
        <v>21</v>
      </c>
      <c r="F128" s="2">
        <v>9</v>
      </c>
      <c r="G128" s="4">
        <v>1200</v>
      </c>
      <c r="H128" s="4">
        <f t="shared" si="3"/>
        <v>10800</v>
      </c>
    </row>
    <row r="129" spans="1:8">
      <c r="A129" s="2" t="s">
        <v>149</v>
      </c>
      <c r="B129" s="3">
        <v>45678</v>
      </c>
      <c r="C129" s="2" t="s">
        <v>16</v>
      </c>
      <c r="D129" s="2" t="s">
        <v>10</v>
      </c>
      <c r="E129" s="2" t="s">
        <v>14</v>
      </c>
      <c r="F129" s="2">
        <v>2</v>
      </c>
      <c r="G129" s="4">
        <v>55000</v>
      </c>
      <c r="H129" s="4">
        <f t="shared" si="3"/>
        <v>110000</v>
      </c>
    </row>
    <row r="130" spans="1:8">
      <c r="A130" s="2" t="s">
        <v>150</v>
      </c>
      <c r="B130" s="3">
        <v>45747</v>
      </c>
      <c r="C130" s="2" t="s">
        <v>13</v>
      </c>
      <c r="D130" s="2" t="s">
        <v>10</v>
      </c>
      <c r="E130" s="2" t="s">
        <v>17</v>
      </c>
      <c r="F130" s="2">
        <v>1</v>
      </c>
      <c r="G130" s="4">
        <v>55000</v>
      </c>
      <c r="H130" s="4">
        <f t="shared" ref="H130:H151" si="4">F130*G130</f>
        <v>55000</v>
      </c>
    </row>
    <row r="131" spans="1:8">
      <c r="A131" s="2" t="s">
        <v>151</v>
      </c>
      <c r="B131" s="3">
        <v>45721</v>
      </c>
      <c r="C131" s="2" t="s">
        <v>13</v>
      </c>
      <c r="D131" s="2" t="s">
        <v>10</v>
      </c>
      <c r="E131" s="2" t="s">
        <v>14</v>
      </c>
      <c r="F131" s="2">
        <v>5</v>
      </c>
      <c r="G131" s="4">
        <v>55000</v>
      </c>
      <c r="H131" s="4">
        <f t="shared" si="4"/>
        <v>275000</v>
      </c>
    </row>
    <row r="132" spans="1:8">
      <c r="A132" s="2" t="s">
        <v>152</v>
      </c>
      <c r="B132" s="3">
        <v>45719</v>
      </c>
      <c r="C132" s="2" t="s">
        <v>13</v>
      </c>
      <c r="D132" s="2" t="s">
        <v>28</v>
      </c>
      <c r="E132" s="2" t="s">
        <v>17</v>
      </c>
      <c r="F132" s="2">
        <v>19</v>
      </c>
      <c r="G132" s="4">
        <v>700</v>
      </c>
      <c r="H132" s="4">
        <f t="shared" si="4"/>
        <v>13300</v>
      </c>
    </row>
    <row r="133" spans="1:8">
      <c r="A133" s="2" t="s">
        <v>153</v>
      </c>
      <c r="B133" s="3">
        <v>45713</v>
      </c>
      <c r="C133" s="2" t="s">
        <v>16</v>
      </c>
      <c r="D133" s="2" t="s">
        <v>33</v>
      </c>
      <c r="E133" s="2" t="s">
        <v>11</v>
      </c>
      <c r="F133" s="2">
        <v>6</v>
      </c>
      <c r="G133" s="4">
        <v>1200</v>
      </c>
      <c r="H133" s="4">
        <f t="shared" si="4"/>
        <v>7200</v>
      </c>
    </row>
    <row r="134" spans="1:8">
      <c r="A134" s="2" t="s">
        <v>154</v>
      </c>
      <c r="B134" s="3">
        <v>45813</v>
      </c>
      <c r="C134" s="2" t="s">
        <v>9</v>
      </c>
      <c r="D134" s="2" t="s">
        <v>26</v>
      </c>
      <c r="E134" s="2" t="s">
        <v>11</v>
      </c>
      <c r="F134" s="2">
        <v>4</v>
      </c>
      <c r="G134" s="4">
        <v>9500</v>
      </c>
      <c r="H134" s="4">
        <f t="shared" si="4"/>
        <v>38000</v>
      </c>
    </row>
    <row r="135" spans="1:8">
      <c r="A135" s="2" t="s">
        <v>155</v>
      </c>
      <c r="B135" s="3">
        <v>45806</v>
      </c>
      <c r="C135" s="2" t="s">
        <v>9</v>
      </c>
      <c r="D135" s="2" t="s">
        <v>33</v>
      </c>
      <c r="E135" s="2" t="s">
        <v>14</v>
      </c>
      <c r="F135" s="2">
        <v>13</v>
      </c>
      <c r="G135" s="4">
        <v>1200</v>
      </c>
      <c r="H135" s="4">
        <f t="shared" si="4"/>
        <v>15600</v>
      </c>
    </row>
    <row r="136" spans="1:8">
      <c r="A136" s="2" t="s">
        <v>156</v>
      </c>
      <c r="B136" s="3">
        <v>45759</v>
      </c>
      <c r="C136" s="2" t="s">
        <v>13</v>
      </c>
      <c r="D136" s="2" t="s">
        <v>10</v>
      </c>
      <c r="E136" s="2" t="s">
        <v>14</v>
      </c>
      <c r="F136" s="2">
        <v>8</v>
      </c>
      <c r="G136" s="4">
        <v>55000</v>
      </c>
      <c r="H136" s="4">
        <f t="shared" si="4"/>
        <v>440000</v>
      </c>
    </row>
    <row r="137" spans="1:8">
      <c r="A137" s="2" t="s">
        <v>157</v>
      </c>
      <c r="B137" s="3">
        <v>45684</v>
      </c>
      <c r="C137" s="2" t="s">
        <v>23</v>
      </c>
      <c r="D137" s="2" t="s">
        <v>19</v>
      </c>
      <c r="E137" s="2" t="s">
        <v>17</v>
      </c>
      <c r="F137" s="2">
        <v>19</v>
      </c>
      <c r="G137" s="4">
        <v>2200</v>
      </c>
      <c r="H137" s="4">
        <f t="shared" si="4"/>
        <v>41800</v>
      </c>
    </row>
    <row r="138" spans="1:8">
      <c r="A138" s="2" t="s">
        <v>158</v>
      </c>
      <c r="B138" s="3">
        <v>45858</v>
      </c>
      <c r="C138" s="2" t="s">
        <v>9</v>
      </c>
      <c r="D138" s="2" t="s">
        <v>33</v>
      </c>
      <c r="E138" s="2" t="s">
        <v>14</v>
      </c>
      <c r="F138" s="2">
        <v>14</v>
      </c>
      <c r="G138" s="4">
        <v>1200</v>
      </c>
      <c r="H138" s="4">
        <f t="shared" si="4"/>
        <v>16800</v>
      </c>
    </row>
    <row r="139" spans="1:8">
      <c r="A139" s="2" t="s">
        <v>159</v>
      </c>
      <c r="B139" s="3">
        <v>45827</v>
      </c>
      <c r="C139" s="2" t="s">
        <v>23</v>
      </c>
      <c r="D139" s="2" t="s">
        <v>10</v>
      </c>
      <c r="E139" s="2" t="s">
        <v>14</v>
      </c>
      <c r="F139" s="2">
        <v>11</v>
      </c>
      <c r="G139" s="4">
        <v>55000</v>
      </c>
      <c r="H139" s="4">
        <f t="shared" si="4"/>
        <v>605000</v>
      </c>
    </row>
    <row r="140" spans="1:8">
      <c r="A140" s="2" t="s">
        <v>160</v>
      </c>
      <c r="B140" s="3">
        <v>45661</v>
      </c>
      <c r="C140" s="2" t="s">
        <v>16</v>
      </c>
      <c r="D140" s="2" t="s">
        <v>28</v>
      </c>
      <c r="E140" s="2" t="s">
        <v>17</v>
      </c>
      <c r="F140" s="2">
        <v>14</v>
      </c>
      <c r="G140" s="4">
        <v>700</v>
      </c>
      <c r="H140" s="4">
        <f t="shared" si="4"/>
        <v>9800</v>
      </c>
    </row>
    <row r="141" spans="1:8">
      <c r="A141" s="2" t="s">
        <v>161</v>
      </c>
      <c r="B141" s="3">
        <v>45750</v>
      </c>
      <c r="C141" s="2" t="s">
        <v>16</v>
      </c>
      <c r="D141" s="2" t="s">
        <v>26</v>
      </c>
      <c r="E141" s="2" t="s">
        <v>21</v>
      </c>
      <c r="F141" s="2">
        <v>6</v>
      </c>
      <c r="G141" s="4">
        <v>9500</v>
      </c>
      <c r="H141" s="4">
        <f t="shared" si="4"/>
        <v>57000</v>
      </c>
    </row>
    <row r="142" spans="1:8">
      <c r="A142" s="2" t="s">
        <v>162</v>
      </c>
      <c r="B142" s="3">
        <v>45845</v>
      </c>
      <c r="C142" s="2" t="s">
        <v>23</v>
      </c>
      <c r="D142" s="2" t="s">
        <v>19</v>
      </c>
      <c r="E142" s="2" t="s">
        <v>14</v>
      </c>
      <c r="F142" s="2">
        <v>16</v>
      </c>
      <c r="G142" s="4">
        <v>2200</v>
      </c>
      <c r="H142" s="4">
        <f t="shared" si="4"/>
        <v>35200</v>
      </c>
    </row>
    <row r="143" spans="1:8">
      <c r="A143" s="2" t="s">
        <v>163</v>
      </c>
      <c r="B143" s="3">
        <v>45777</v>
      </c>
      <c r="C143" s="2" t="s">
        <v>16</v>
      </c>
      <c r="D143" s="2" t="s">
        <v>19</v>
      </c>
      <c r="E143" s="2" t="s">
        <v>11</v>
      </c>
      <c r="F143" s="2">
        <v>11</v>
      </c>
      <c r="G143" s="4">
        <v>2200</v>
      </c>
      <c r="H143" s="4">
        <f t="shared" si="4"/>
        <v>24200</v>
      </c>
    </row>
    <row r="144" spans="1:8">
      <c r="A144" s="2" t="s">
        <v>164</v>
      </c>
      <c r="B144" s="3">
        <v>45720</v>
      </c>
      <c r="C144" s="2" t="s">
        <v>9</v>
      </c>
      <c r="D144" s="2" t="s">
        <v>33</v>
      </c>
      <c r="E144" s="2" t="s">
        <v>21</v>
      </c>
      <c r="F144" s="2">
        <v>8</v>
      </c>
      <c r="G144" s="4">
        <v>1200</v>
      </c>
      <c r="H144" s="4">
        <f t="shared" si="4"/>
        <v>9600</v>
      </c>
    </row>
    <row r="145" spans="1:8">
      <c r="A145" s="2" t="s">
        <v>165</v>
      </c>
      <c r="B145" s="3">
        <v>45850</v>
      </c>
      <c r="C145" s="2" t="s">
        <v>16</v>
      </c>
      <c r="D145" s="2" t="s">
        <v>19</v>
      </c>
      <c r="E145" s="2" t="s">
        <v>14</v>
      </c>
      <c r="F145" s="2">
        <v>13</v>
      </c>
      <c r="G145" s="4">
        <v>2200</v>
      </c>
      <c r="H145" s="4">
        <f t="shared" si="4"/>
        <v>28600</v>
      </c>
    </row>
    <row r="146" spans="1:8">
      <c r="A146" s="2" t="s">
        <v>166</v>
      </c>
      <c r="B146" s="3">
        <v>45744</v>
      </c>
      <c r="C146" s="2" t="s">
        <v>9</v>
      </c>
      <c r="D146" s="2" t="s">
        <v>28</v>
      </c>
      <c r="E146" s="2" t="s">
        <v>11</v>
      </c>
      <c r="F146" s="2">
        <v>6</v>
      </c>
      <c r="G146" s="4">
        <v>700</v>
      </c>
      <c r="H146" s="4">
        <f t="shared" si="4"/>
        <v>4200</v>
      </c>
    </row>
    <row r="147" spans="1:8">
      <c r="A147" s="2" t="s">
        <v>167</v>
      </c>
      <c r="B147" s="3">
        <v>45782</v>
      </c>
      <c r="C147" s="2" t="s">
        <v>13</v>
      </c>
      <c r="D147" s="2" t="s">
        <v>33</v>
      </c>
      <c r="E147" s="2" t="s">
        <v>11</v>
      </c>
      <c r="F147" s="2">
        <v>11</v>
      </c>
      <c r="G147" s="4">
        <v>1200</v>
      </c>
      <c r="H147" s="4">
        <f t="shared" si="4"/>
        <v>13200</v>
      </c>
    </row>
    <row r="148" spans="1:8">
      <c r="A148" s="2" t="s">
        <v>168</v>
      </c>
      <c r="B148" s="3">
        <v>45729</v>
      </c>
      <c r="C148" s="2" t="s">
        <v>23</v>
      </c>
      <c r="D148" s="2" t="s">
        <v>19</v>
      </c>
      <c r="E148" s="2" t="s">
        <v>17</v>
      </c>
      <c r="F148" s="2">
        <v>17</v>
      </c>
      <c r="G148" s="4">
        <v>2200</v>
      </c>
      <c r="H148" s="4">
        <f t="shared" si="4"/>
        <v>37400</v>
      </c>
    </row>
    <row r="149" spans="1:8">
      <c r="A149" s="2" t="s">
        <v>169</v>
      </c>
      <c r="B149" s="3">
        <v>45706</v>
      </c>
      <c r="C149" s="2" t="s">
        <v>9</v>
      </c>
      <c r="D149" s="2" t="s">
        <v>26</v>
      </c>
      <c r="E149" s="2" t="s">
        <v>21</v>
      </c>
      <c r="F149" s="2">
        <v>16</v>
      </c>
      <c r="G149" s="4">
        <v>9500</v>
      </c>
      <c r="H149" s="4">
        <f t="shared" si="4"/>
        <v>152000</v>
      </c>
    </row>
    <row r="150" spans="1:8">
      <c r="A150" s="2" t="s">
        <v>170</v>
      </c>
      <c r="B150" s="3">
        <v>45800</v>
      </c>
      <c r="C150" s="2" t="s">
        <v>13</v>
      </c>
      <c r="D150" s="2" t="s">
        <v>28</v>
      </c>
      <c r="E150" s="2" t="s">
        <v>21</v>
      </c>
      <c r="F150" s="2">
        <v>15</v>
      </c>
      <c r="G150" s="4">
        <v>700</v>
      </c>
      <c r="H150" s="4">
        <f t="shared" si="4"/>
        <v>10500</v>
      </c>
    </row>
    <row r="151" spans="1:8">
      <c r="A151" s="2" t="s">
        <v>171</v>
      </c>
      <c r="B151" s="3">
        <v>45860</v>
      </c>
      <c r="C151" s="2" t="s">
        <v>9</v>
      </c>
      <c r="D151" s="2" t="s">
        <v>10</v>
      </c>
      <c r="E151" s="2" t="s">
        <v>11</v>
      </c>
      <c r="F151" s="2">
        <v>8</v>
      </c>
      <c r="G151" s="4">
        <v>55000</v>
      </c>
      <c r="H151" s="4">
        <f t="shared" si="4"/>
        <v>440000</v>
      </c>
    </row>
  </sheetData>
  <pageMargins left="0.75" right="0.75" top="1" bottom="1" header="0.511811023622047" footer="0.511811023622047"/>
  <pageSetup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E16"/>
  <sheetViews>
    <sheetView workbookViewId="0">
      <selection activeCell="D15" sqref="D15"/>
    </sheetView>
  </sheetViews>
  <sheetFormatPr defaultColWidth="8.7109375" defaultRowHeight="15"/>
  <cols>
    <col min="1" max="2" width="16" customWidth="1"/>
    <col min="3" max="3" width="14" customWidth="1"/>
    <col min="4" max="4" width="12" customWidth="1"/>
  </cols>
  <sheetData>
    <row r="1" spans="1:5" ht="23.25">
      <c r="A1" s="10" t="s">
        <v>172</v>
      </c>
      <c r="B1" s="10"/>
      <c r="C1" s="10"/>
      <c r="D1" s="10"/>
      <c r="E1" s="10"/>
    </row>
    <row r="3" spans="1:5">
      <c r="A3" s="5" t="s">
        <v>173</v>
      </c>
    </row>
    <row r="4" spans="1:5">
      <c r="A4" s="1" t="s">
        <v>2</v>
      </c>
      <c r="B4" s="1" t="s">
        <v>174</v>
      </c>
      <c r="C4" s="1" t="s">
        <v>175</v>
      </c>
      <c r="D4" s="1" t="s">
        <v>176</v>
      </c>
    </row>
    <row r="5" spans="1:5">
      <c r="A5" s="2" t="s">
        <v>9</v>
      </c>
      <c r="B5" s="4">
        <f>SUMIFS('Raw Data'!H:H,'Raw Data'!C:C,A5)</f>
        <v>3615800</v>
      </c>
      <c r="C5" s="4">
        <f>SUMIFS('Raw Data'!F:F,'Raw Data'!C:C,A5)</f>
        <v>370</v>
      </c>
      <c r="D5" s="2">
        <f>COUNTIFS('Raw Data'!C:C,A5)</f>
        <v>35</v>
      </c>
    </row>
    <row r="6" spans="1:5">
      <c r="A6" s="2" t="s">
        <v>13</v>
      </c>
      <c r="B6" s="4">
        <f>SUMIFS('Raw Data'!H:H,'Raw Data'!C:C,A6)</f>
        <v>4768500</v>
      </c>
      <c r="C6" s="4">
        <f>SUMIFS('Raw Data'!F:F,'Raw Data'!C:C,A6)</f>
        <v>424</v>
      </c>
      <c r="D6" s="2">
        <f>COUNTIFS('Raw Data'!C:C,A6)</f>
        <v>44</v>
      </c>
    </row>
    <row r="7" spans="1:5">
      <c r="A7" s="2" t="s">
        <v>23</v>
      </c>
      <c r="B7" s="4">
        <f>SUMIFS('Raw Data'!H:H,'Raw Data'!C:C,A7)</f>
        <v>8267500</v>
      </c>
      <c r="C7" s="4">
        <f>SUMIFS('Raw Data'!F:F,'Raw Data'!C:C,A7)</f>
        <v>456</v>
      </c>
      <c r="D7" s="2">
        <f>COUNTIFS('Raw Data'!C:C,A7)</f>
        <v>38</v>
      </c>
    </row>
    <row r="8" spans="1:5">
      <c r="A8" s="2" t="s">
        <v>16</v>
      </c>
      <c r="B8" s="4">
        <f>SUMIFS('Raw Data'!H:H,'Raw Data'!C:C,A8)</f>
        <v>2704400</v>
      </c>
      <c r="C8" s="4">
        <f>SUMIFS('Raw Data'!F:F,'Raw Data'!C:C,A8)</f>
        <v>313</v>
      </c>
      <c r="D8" s="2">
        <f>COUNTIFS('Raw Data'!C:C,A8)</f>
        <v>33</v>
      </c>
    </row>
    <row r="11" spans="1:5">
      <c r="A11" s="5"/>
    </row>
    <row r="12" spans="1:5">
      <c r="A12" s="2"/>
      <c r="B12" s="4"/>
      <c r="C12" s="4"/>
      <c r="D12" s="4"/>
    </row>
    <row r="13" spans="1:5">
      <c r="A13" s="2"/>
      <c r="B13" s="4"/>
      <c r="C13" s="4"/>
      <c r="D13" s="4"/>
    </row>
    <row r="14" spans="1:5">
      <c r="A14" s="2"/>
      <c r="B14" s="4"/>
      <c r="C14" s="4"/>
      <c r="D14" s="4"/>
    </row>
    <row r="15" spans="1:5">
      <c r="A15" s="2"/>
      <c r="B15" s="4"/>
      <c r="C15" s="4"/>
      <c r="D15" s="4"/>
    </row>
    <row r="16" spans="1:5">
      <c r="A16" s="2"/>
      <c r="B16" s="4"/>
      <c r="C16" s="4"/>
      <c r="D16" s="4"/>
    </row>
  </sheetData>
  <mergeCells count="1">
    <mergeCell ref="A1:E1"/>
  </mergeCells>
  <conditionalFormatting sqref="B5:B8">
    <cfRule type="dataBar" priority="2">
      <dataBar>
        <cfvo type="min" val="0"/>
        <cfvo type="max" val="0"/>
        <color rgb="FF4F7CFF"/>
      </dataBar>
      <extLst xmlns:x14="http://schemas.microsoft.com/office/spreadsheetml/2009/9/main">
        <ext uri="{B025F937-C7B1-47D3-B67F-A62EFF666E3E}">
          <x14:id>{8E367A38-E0B8-4CB7-AE1F-639966754DF1}</x14:id>
        </ext>
      </extLst>
    </cfRule>
  </conditionalFormatting>
  <conditionalFormatting sqref="B12:B16">
    <cfRule type="colorScale" priority="3">
      <colorScale>
        <cfvo type="min" val="0"/>
        <cfvo type="max" val="0"/>
        <color rgb="FFFFF2CC"/>
        <color rgb="FF4F7CFF"/>
      </colorScale>
    </cfRule>
  </conditionalFormatting>
  <pageMargins left="0.75" right="0.75" top="1" bottom="1" header="0.511811023622047" footer="0.511811023622047"/>
  <pageSetup orientation="landscape" horizontalDpi="300" verticalDpi="300"/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8E367A38-E0B8-4CB7-AE1F-639966754DF1}">
            <x14:dataBar minLength="10" maxLength="90" axisPosition="none" gradient="true">
              <x14:cfvo type="min"/>
              <x14:cfvo type="max"/>
              <x14:negativeFillColor rgb="FF4F7CFF"/>
              <x14:axisColor rgb="FF000000"/>
            </x14:dataBar>
          </x14:cfRule>
          <xm:sqref>B5:B8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X8"/>
  <sheetViews>
    <sheetView showGridLines="0" zoomScale="70" zoomScaleNormal="70" workbookViewId="0">
      <selection activeCell="P10" sqref="P10"/>
    </sheetView>
  </sheetViews>
  <sheetFormatPr defaultColWidth="8.7109375" defaultRowHeight="15"/>
  <cols>
    <col min="1" max="1" width="3" customWidth="1"/>
    <col min="2" max="18" width="12" customWidth="1"/>
    <col min="24" max="24" width="9.7109375" bestFit="1" customWidth="1"/>
  </cols>
  <sheetData>
    <row r="1" spans="2:24">
      <c r="W1" t="s">
        <v>177</v>
      </c>
      <c r="X1" t="s">
        <v>7</v>
      </c>
    </row>
    <row r="2" spans="2:24" ht="26.25">
      <c r="B2" s="6" t="s">
        <v>178</v>
      </c>
      <c r="W2" s="7" t="s">
        <v>179</v>
      </c>
      <c r="X2" s="8">
        <f>SUMPRODUCT(('Raw Data'!$B$2:$B$151&gt;=DATE(2025,1,1))*('Raw Data'!$B$2:$B$151&lt;DATE(2025,2,1))*'Raw Data'!$H$2:$H$151)</f>
        <v>1738100</v>
      </c>
    </row>
    <row r="3" spans="2:24">
      <c r="B3" s="9" t="s">
        <v>180</v>
      </c>
      <c r="W3" s="7" t="s">
        <v>181</v>
      </c>
      <c r="X3" s="8">
        <f>SUMPRODUCT(('Raw Data'!$B$2:$B$151&gt;=DATE(2025,2,1))*('Raw Data'!$B$2:$B$151&lt;DATE(2025,3,1))*'Raw Data'!$H$2:$H$151)</f>
        <v>2676400</v>
      </c>
    </row>
    <row r="4" spans="2:24">
      <c r="W4" t="s">
        <v>182</v>
      </c>
      <c r="X4" s="8">
        <f>SUMPRODUCT(('Raw Data'!$B$2:$B$151&gt;=DATE(2025,3,1))*('Raw Data'!$B$2:$B$151&lt;DATE(2025,4,1))*'Raw Data'!$H$2:$H$151)</f>
        <v>3553400</v>
      </c>
    </row>
    <row r="5" spans="2:24">
      <c r="B5" s="11" t="s">
        <v>183</v>
      </c>
      <c r="C5" s="11"/>
      <c r="E5" s="11" t="s">
        <v>184</v>
      </c>
      <c r="F5" s="11"/>
      <c r="H5" s="11" t="s">
        <v>185</v>
      </c>
      <c r="I5" s="11"/>
      <c r="K5" s="11" t="s">
        <v>186</v>
      </c>
      <c r="L5" s="11"/>
      <c r="W5" s="7" t="s">
        <v>187</v>
      </c>
      <c r="X5" s="8">
        <f>SUMPRODUCT(('Raw Data'!$B$2:$B$151&gt;=DATE(2025,4,1))*('Raw Data'!$B$2:$B$151&lt;DATE(2025,5,1))*'Raw Data'!$H$2:$H$151)</f>
        <v>5604100</v>
      </c>
    </row>
    <row r="6" spans="2:24">
      <c r="B6" s="12">
        <f>SUM('Raw Data'!H:H)</f>
        <v>19356200</v>
      </c>
      <c r="C6" s="12"/>
      <c r="E6" s="12">
        <f>SUM('Raw Data'!F:F)</f>
        <v>1563</v>
      </c>
      <c r="F6" s="12"/>
      <c r="H6" s="12">
        <f>COUNTA('Raw Data'!A2:A151)</f>
        <v>150</v>
      </c>
      <c r="I6" s="12"/>
      <c r="K6" s="12">
        <f>SUM('Raw Data'!H:H)/COUNTA('Raw Data'!A2:A151)</f>
        <v>129041.33333333333</v>
      </c>
      <c r="L6" s="12"/>
      <c r="W6" s="7" t="s">
        <v>188</v>
      </c>
      <c r="X6" s="8">
        <f>SUMPRODUCT(('Raw Data'!$B$2:$B$151&gt;=DATE(2025,5,1))*('Raw Data'!$B$2:$B$151&lt;DATE(2025,6,1))*'Raw Data'!$H$2:$H$151)</f>
        <v>748000</v>
      </c>
    </row>
    <row r="7" spans="2:24">
      <c r="B7" s="12"/>
      <c r="C7" s="12"/>
      <c r="E7" s="12"/>
      <c r="F7" s="12"/>
      <c r="H7" s="12"/>
      <c r="I7" s="12"/>
      <c r="K7" s="12"/>
      <c r="L7" s="12"/>
      <c r="W7" s="7" t="s">
        <v>189</v>
      </c>
      <c r="X7" s="8">
        <f>SUMPRODUCT(('Raw Data'!$B$2:$B$151&gt;=DATE(2025,6,1))*('Raw Data'!$B$2:$B$151&lt;DATE(2025,7,1))*'Raw Data'!$H$2:$H$151)</f>
        <v>3182200</v>
      </c>
    </row>
    <row r="8" spans="2:24">
      <c r="W8" t="s">
        <v>190</v>
      </c>
      <c r="X8" s="8">
        <f>SUMPRODUCT(('Raw Data'!$B$2:$B$151&gt;=DATE(2025,7,1))*('Raw Data'!$B$2:$B$151&lt;DATE(2025,8,1))*'Raw Data'!$H$2:$H$151)</f>
        <v>1854000</v>
      </c>
    </row>
  </sheetData>
  <mergeCells count="8">
    <mergeCell ref="B5:C5"/>
    <mergeCell ref="E5:F5"/>
    <mergeCell ref="H5:I5"/>
    <mergeCell ref="K5:L5"/>
    <mergeCell ref="B6:C7"/>
    <mergeCell ref="E6:F7"/>
    <mergeCell ref="H6:I7"/>
    <mergeCell ref="K6:L7"/>
  </mergeCells>
  <pageMargins left="0.75" right="0.75" top="1" bottom="1" header="0.511811023622047" footer="0.511811023622047"/>
  <pageSetup orientation="landscape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Raw Data</vt:lpstr>
      <vt:lpstr>Summary</vt:lpstr>
      <vt:lpstr>Dashboard</vt:lpstr>
      <vt:lpstr>Dashboard!Print_Area</vt:lpstr>
      <vt:lpstr>'Raw Data'!Print_Area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Welcome</cp:lastModifiedBy>
  <cp:revision>1</cp:revision>
  <dcterms:created xsi:type="dcterms:W3CDTF">2026-08-13T10:34:16Z</dcterms:created>
  <dcterms:modified xsi:type="dcterms:W3CDTF">2026-09-06T13:02:00Z</dcterms:modified>
  <dc:language>en-US</dc:language>
</cp:coreProperties>
</file>